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xcelR\"/>
    </mc:Choice>
  </mc:AlternateContent>
  <xr:revisionPtr revIDLastSave="0" documentId="13_ncr:1_{8354D421-FE67-483E-9C56-CC8E338D960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onditional Formatting (3)" sheetId="8" r:id="rId1"/>
    <sheet name="Conditional Formatting (4)" sheetId="14" r:id="rId2"/>
    <sheet name="Sorting" sheetId="5" r:id="rId3"/>
    <sheet name="Filtering" sheetId="6" r:id="rId4"/>
  </sheets>
  <definedNames>
    <definedName name="_xlnm._FilterDatabase" localSheetId="0" hidden="1">'Conditional Formatting (3)'!$F$1:$F$21</definedName>
    <definedName name="_xlnm._FilterDatabase" localSheetId="1" hidden="1">'Conditional Formatting (4)'!$F$1:$F$21</definedName>
    <definedName name="_xlnm._FilterDatabase" localSheetId="3" hidden="1">Filtering!$A$1:$J$21</definedName>
    <definedName name="_xlnm._FilterDatabase" localSheetId="2" hidden="1">Sorting!$F$1:$F$21</definedName>
    <definedName name="_xlnm.Criteria" localSheetId="3">Filtering!$O$1:$P$2</definedName>
    <definedName name="Department">#REF!</definedName>
    <definedName name="dept" localSheetId="0">'Conditional Formatting (3)'!$L$16:$L$20</definedName>
    <definedName name="dept" localSheetId="1">'Conditional Formatting (4)'!$L$16:$L$20</definedName>
    <definedName name="dept" localSheetId="3">Filtering!#REF!</definedName>
    <definedName name="dept" localSheetId="2">Sorting!$L$16:$L$20</definedName>
    <definedName name="dept">#REF!</definedName>
    <definedName name="_xlnm.Extract" localSheetId="0">'Conditional Formatting (3)'!$L$4</definedName>
    <definedName name="_xlnm.Extract" localSheetId="1">'Conditional Formatting (4)'!$L$4</definedName>
    <definedName name="_xlnm.Extract" localSheetId="3">Filtering!$L$39:$U$39</definedName>
    <definedName name="_xlnm.Extract" localSheetId="2">Sorting!$L$4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6" l="1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19" i="5"/>
  <c r="J21" i="5"/>
  <c r="J2" i="5"/>
  <c r="J3" i="5"/>
  <c r="J17" i="5"/>
  <c r="J8" i="5"/>
  <c r="J16" i="5"/>
  <c r="J18" i="5"/>
  <c r="J15" i="5"/>
  <c r="J9" i="5"/>
  <c r="J10" i="5"/>
  <c r="J5" i="5"/>
  <c r="J14" i="5"/>
  <c r="J13" i="5"/>
  <c r="J12" i="5"/>
  <c r="J7" i="5"/>
  <c r="J11" i="5"/>
  <c r="J20" i="5"/>
  <c r="J6" i="5"/>
  <c r="J4" i="5"/>
</calcChain>
</file>

<file path=xl/sharedStrings.xml><?xml version="1.0" encoding="utf-8"?>
<sst xmlns="http://schemas.openxmlformats.org/spreadsheetml/2006/main" count="620" uniqueCount="70">
  <si>
    <t>Emp Code</t>
  </si>
  <si>
    <t>Employee Name</t>
  </si>
  <si>
    <t>Address</t>
  </si>
  <si>
    <t>City</t>
  </si>
  <si>
    <t>Region</t>
  </si>
  <si>
    <t>Department</t>
  </si>
  <si>
    <t>Basic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</si>
  <si>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</si>
  <si>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</si>
  <si>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</si>
  <si>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</si>
  <si>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</si>
  <si>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</si>
  <si>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</si>
  <si>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</si>
  <si>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</si>
  <si>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</si>
  <si>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Priya Agarwal</t>
  </si>
  <si>
    <t>Sector 9</t>
  </si>
  <si>
    <t>Noida</t>
  </si>
  <si>
    <t>Marketing</t>
  </si>
  <si>
    <t>R Vasu</t>
  </si>
  <si>
    <t>Egmore</t>
  </si>
  <si>
    <t>Chennai</t>
  </si>
  <si>
    <t>S</t>
  </si>
  <si>
    <t>R&amp;D</t>
  </si>
  <si>
    <t>Sanjay Gupta</t>
  </si>
  <si>
    <t>G K - II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</si>
  <si>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</si>
  <si>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</si>
  <si>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</si>
  <si>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</si>
  <si>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</si>
  <si>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</si>
  <si>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</si>
  <si>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</si>
  <si>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</si>
  <si>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</si>
  <si>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</si>
  <si>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</si>
  <si>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Kormangala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</si>
  <si>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</si>
  <si>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</si>
  <si>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</si>
  <si>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</si>
  <si>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</si>
  <si>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</si>
  <si>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</si>
  <si>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</si>
  <si>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</si>
  <si>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</si>
  <si>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</si>
  <si>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</si>
  <si>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</si>
  <si>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</si>
  <si>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</si>
  <si>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</si>
  <si>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</si>
  <si>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</si>
  <si>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</si>
  <si>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</si>
  <si>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</si>
  <si>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</si>
  <si>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DOB</t>
  </si>
  <si>
    <t>DOJ</t>
  </si>
  <si>
    <t>Age</t>
  </si>
  <si>
    <t>marketing</t>
  </si>
  <si>
    <t>AND wali condition</t>
  </si>
  <si>
    <t>OR wali condition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</si>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</sst>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1" fontId="0" fillId="0" borderId="1" xfId="0" applyNumberFormat="1" applyBorder="1"/>
    <xf numFmtId="0" fontId="2" fillId="5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AABC-4276-4198-9082-5704955068E3}">
  <dimension ref="A1:K21"/>
  <sheetViews>
    <sheetView zoomScale="87" zoomScaleNormal="60" workbookViewId="0">
      <selection activeCell="M14" sqref="M14"/>
    </sheetView>
  </sheetViews>
  <sheetFormatPr defaultRowHeight="14.4" x14ac:dyDescent="0.3"/>
  <cols>
    <col min="1" max="1" width="10.77734375" bestFit="1" customWidth="1"/>
    <col min="2" max="2" width="16.77734375" bestFit="1" customWidth="1"/>
    <col min="3" max="3" width="11.77734375" bestFit="1" customWidth="1"/>
    <col min="4" max="4" width="10.44140625" bestFit="1" customWidth="1"/>
    <col min="5" max="5" width="7.44140625" bestFit="1" customWidth="1"/>
    <col min="6" max="8" width="12.5546875" bestFit="1" customWidth="1"/>
    <col min="9" max="9" width="14.77734375" bestFit="1" customWidth="1"/>
    <col min="10" max="10" width="9.109375" customWidth="1"/>
    <col min="11" max="11" width="15.44140625" customWidth="1"/>
    <col min="12" max="12" width="15.6640625" customWidth="1"/>
    <col min="13" max="13" width="12.5546875" bestFit="1" customWidth="1"/>
    <col min="14" max="14" width="16.77734375" bestFit="1" customWidth="1"/>
    <col min="15" max="15" width="12.109375" bestFit="1" customWidth="1"/>
    <col min="17" max="17" width="11.6640625" customWidth="1"/>
    <col min="19" max="19" width="11.5546875" bestFit="1" customWidth="1"/>
    <col min="20" max="20" width="11.88671875" bestFit="1" customWidth="1"/>
    <col min="21" max="21" width="12.33203125" bestFit="1" customWidth="1"/>
    <col min="22" max="22" width="12.44140625" bestFit="1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</v>
      </c>
      <c r="H1" s="1" t="s">
        <v>64</v>
      </c>
      <c r="I1" s="1" t="s">
        <v>6</v>
      </c>
      <c r="K1" s="1" t="s">
        <v>6</v>
      </c>
    </row>
    <row r="2" spans="1:11" ht="15.6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36831</v>
      </c>
      <c r="H2" s="3">
        <v>45514</v>
      </c>
      <c r="I2" s="2">
        <v>6250</v>
      </c>
      <c r="K2" s="2">
        <v>6250</v>
      </c>
    </row>
    <row r="3" spans="1:11" ht="15.6" x14ac:dyDescent="0.3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>
        <v>36306</v>
      </c>
      <c r="H3" s="3">
        <v>45293</v>
      </c>
      <c r="I3" s="2">
        <v>8750</v>
      </c>
      <c r="K3" s="2">
        <v>8750</v>
      </c>
    </row>
    <row r="4" spans="1:11" ht="15.6" x14ac:dyDescent="0.3">
      <c r="A4" s="2">
        <v>3</v>
      </c>
      <c r="B4" s="2" t="s">
        <v>17</v>
      </c>
      <c r="C4" s="2" t="s">
        <v>18</v>
      </c>
      <c r="D4" s="2" t="s">
        <v>19</v>
      </c>
      <c r="E4" s="2" t="s">
        <v>15</v>
      </c>
      <c r="F4" s="2" t="s">
        <v>20</v>
      </c>
      <c r="G4" s="3">
        <v>37038</v>
      </c>
      <c r="H4" s="3">
        <v>45403</v>
      </c>
      <c r="I4" s="2">
        <v>11250</v>
      </c>
      <c r="K4" s="2">
        <v>11250</v>
      </c>
    </row>
    <row r="5" spans="1:11" ht="15.6" x14ac:dyDescent="0.3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3">
        <v>34632</v>
      </c>
      <c r="H5" s="3">
        <v>45641</v>
      </c>
      <c r="I5" s="2">
        <v>10000</v>
      </c>
      <c r="K5" s="2">
        <v>10000</v>
      </c>
    </row>
    <row r="6" spans="1:11" ht="15.6" x14ac:dyDescent="0.3">
      <c r="A6" s="2">
        <v>5</v>
      </c>
      <c r="B6" s="2" t="s">
        <v>26</v>
      </c>
      <c r="C6" s="2" t="s">
        <v>27</v>
      </c>
      <c r="D6" s="2" t="s">
        <v>14</v>
      </c>
      <c r="E6" s="2" t="s">
        <v>15</v>
      </c>
      <c r="F6" s="2" t="s">
        <v>11</v>
      </c>
      <c r="G6" s="3">
        <v>34491</v>
      </c>
      <c r="H6" s="3">
        <v>45350</v>
      </c>
      <c r="I6" s="2">
        <v>16250</v>
      </c>
      <c r="K6" s="2">
        <v>16250</v>
      </c>
    </row>
    <row r="7" spans="1:11" ht="15.6" x14ac:dyDescent="0.3">
      <c r="A7" s="2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16</v>
      </c>
      <c r="G7" s="3">
        <v>35484</v>
      </c>
      <c r="H7" s="3">
        <v>45383</v>
      </c>
      <c r="I7" s="2">
        <v>6400</v>
      </c>
      <c r="K7" s="2">
        <v>6400</v>
      </c>
    </row>
    <row r="8" spans="1:11" ht="15.6" x14ac:dyDescent="0.3">
      <c r="A8" s="2">
        <v>7</v>
      </c>
      <c r="B8" s="2" t="s">
        <v>32</v>
      </c>
      <c r="C8" s="2" t="s">
        <v>33</v>
      </c>
      <c r="D8" s="2" t="s">
        <v>34</v>
      </c>
      <c r="E8" s="2" t="s">
        <v>31</v>
      </c>
      <c r="F8" s="2" t="s">
        <v>66</v>
      </c>
      <c r="G8" s="3">
        <v>34562</v>
      </c>
      <c r="H8" s="3">
        <v>45456</v>
      </c>
      <c r="I8" s="2">
        <v>6500</v>
      </c>
      <c r="K8" s="2">
        <v>6500</v>
      </c>
    </row>
    <row r="9" spans="1:11" ht="15.6" x14ac:dyDescent="0.3">
      <c r="A9" s="2">
        <v>8</v>
      </c>
      <c r="B9" s="2" t="s">
        <v>35</v>
      </c>
      <c r="C9" s="2" t="s">
        <v>36</v>
      </c>
      <c r="D9" s="2" t="s">
        <v>34</v>
      </c>
      <c r="E9" s="2" t="s">
        <v>24</v>
      </c>
      <c r="F9" s="2" t="s">
        <v>25</v>
      </c>
      <c r="G9" s="3">
        <v>34815</v>
      </c>
      <c r="H9" s="3">
        <v>45460</v>
      </c>
      <c r="I9" s="2">
        <v>6275</v>
      </c>
      <c r="K9" s="2">
        <v>6275</v>
      </c>
    </row>
    <row r="10" spans="1:11" ht="15.6" x14ac:dyDescent="0.3">
      <c r="A10" s="2">
        <v>9</v>
      </c>
      <c r="B10" s="2" t="s">
        <v>37</v>
      </c>
      <c r="C10" s="2" t="s">
        <v>38</v>
      </c>
      <c r="D10" s="2" t="s">
        <v>9</v>
      </c>
      <c r="E10" s="2" t="s">
        <v>10</v>
      </c>
      <c r="F10" s="2" t="s">
        <v>11</v>
      </c>
      <c r="G10" s="3">
        <v>35712</v>
      </c>
      <c r="H10" s="3">
        <v>45644</v>
      </c>
      <c r="I10" s="2">
        <v>6250</v>
      </c>
      <c r="K10" s="2">
        <v>6250</v>
      </c>
    </row>
    <row r="11" spans="1:11" ht="15.6" x14ac:dyDescent="0.3">
      <c r="A11" s="2">
        <v>10</v>
      </c>
      <c r="B11" s="2" t="s">
        <v>39</v>
      </c>
      <c r="C11" s="2" t="s">
        <v>40</v>
      </c>
      <c r="D11" s="2" t="s">
        <v>41</v>
      </c>
      <c r="E11" s="2" t="s">
        <v>24</v>
      </c>
      <c r="F11" s="2" t="s">
        <v>16</v>
      </c>
      <c r="G11" s="3">
        <v>34620</v>
      </c>
      <c r="H11" s="3">
        <v>45366</v>
      </c>
      <c r="I11" s="2">
        <v>8750</v>
      </c>
      <c r="K11" s="2">
        <v>8750</v>
      </c>
    </row>
    <row r="12" spans="1:11" ht="15.6" x14ac:dyDescent="0.3">
      <c r="A12" s="2">
        <v>11</v>
      </c>
      <c r="B12" s="2" t="s">
        <v>42</v>
      </c>
      <c r="C12" s="2" t="s">
        <v>43</v>
      </c>
      <c r="D12" s="2" t="s">
        <v>41</v>
      </c>
      <c r="E12" s="2" t="s">
        <v>24</v>
      </c>
      <c r="F12" s="2" t="s">
        <v>20</v>
      </c>
      <c r="G12" s="3">
        <v>36269</v>
      </c>
      <c r="H12" s="3">
        <v>45377</v>
      </c>
      <c r="I12" s="2">
        <v>11250</v>
      </c>
      <c r="K12" s="2">
        <v>11250</v>
      </c>
    </row>
    <row r="13" spans="1:11" ht="15.6" x14ac:dyDescent="0.3">
      <c r="A13" s="2">
        <v>12</v>
      </c>
      <c r="B13" s="2" t="s">
        <v>44</v>
      </c>
      <c r="C13" s="2" t="s">
        <v>45</v>
      </c>
      <c r="D13" s="2" t="s">
        <v>46</v>
      </c>
      <c r="E13" s="2" t="s">
        <v>24</v>
      </c>
      <c r="F13" s="2" t="s">
        <v>25</v>
      </c>
      <c r="G13" s="3">
        <v>36443</v>
      </c>
      <c r="H13" s="3">
        <v>45513</v>
      </c>
      <c r="I13" s="2">
        <v>10000</v>
      </c>
      <c r="K13" s="2">
        <v>10000</v>
      </c>
    </row>
    <row r="14" spans="1:11" ht="15.6" x14ac:dyDescent="0.3">
      <c r="A14" s="2">
        <v>13</v>
      </c>
      <c r="B14" s="2" t="s">
        <v>47</v>
      </c>
      <c r="C14" s="2" t="s">
        <v>13</v>
      </c>
      <c r="D14" s="2" t="s">
        <v>48</v>
      </c>
      <c r="E14" s="2" t="s">
        <v>24</v>
      </c>
      <c r="F14" s="2" t="s">
        <v>11</v>
      </c>
      <c r="G14" s="3">
        <v>35771</v>
      </c>
      <c r="H14" s="3">
        <v>45416</v>
      </c>
      <c r="I14" s="2">
        <v>16250</v>
      </c>
      <c r="K14" s="2">
        <v>16250</v>
      </c>
    </row>
    <row r="15" spans="1:11" ht="15.6" x14ac:dyDescent="0.3">
      <c r="A15" s="2">
        <v>14</v>
      </c>
      <c r="B15" s="2" t="s">
        <v>49</v>
      </c>
      <c r="C15" s="2" t="s">
        <v>18</v>
      </c>
      <c r="D15" s="2" t="s">
        <v>46</v>
      </c>
      <c r="E15" s="2" t="s">
        <v>24</v>
      </c>
      <c r="F15" s="2" t="s">
        <v>16</v>
      </c>
      <c r="G15" s="3">
        <v>36426</v>
      </c>
      <c r="H15" s="3">
        <v>45470</v>
      </c>
      <c r="I15" s="2">
        <v>6400</v>
      </c>
      <c r="K15" s="2">
        <v>6400</v>
      </c>
    </row>
    <row r="16" spans="1:11" ht="15.6" x14ac:dyDescent="0.3">
      <c r="A16" s="2">
        <v>15</v>
      </c>
      <c r="B16" s="2" t="s">
        <v>50</v>
      </c>
      <c r="C16" s="2" t="s">
        <v>51</v>
      </c>
      <c r="D16" s="2" t="s">
        <v>14</v>
      </c>
      <c r="E16" s="2" t="s">
        <v>15</v>
      </c>
      <c r="F16" s="2" t="s">
        <v>66</v>
      </c>
      <c r="G16" s="3">
        <v>37313</v>
      </c>
      <c r="H16" s="3">
        <v>45315</v>
      </c>
      <c r="I16" s="2">
        <v>4500</v>
      </c>
      <c r="K16" s="2">
        <v>4500</v>
      </c>
    </row>
    <row r="17" spans="1:11" ht="15.6" x14ac:dyDescent="0.3">
      <c r="A17" s="2">
        <v>16</v>
      </c>
      <c r="B17" s="2" t="s">
        <v>52</v>
      </c>
      <c r="C17" s="2" t="s">
        <v>36</v>
      </c>
      <c r="D17" s="2" t="s">
        <v>46</v>
      </c>
      <c r="E17" s="2" t="s">
        <v>24</v>
      </c>
      <c r="F17" s="2" t="s">
        <v>25</v>
      </c>
      <c r="G17" s="3">
        <v>34815</v>
      </c>
      <c r="H17" s="3">
        <v>45626</v>
      </c>
      <c r="I17" s="2">
        <v>6275</v>
      </c>
      <c r="K17" s="2">
        <v>6275</v>
      </c>
    </row>
    <row r="18" spans="1:11" ht="15.6" x14ac:dyDescent="0.3">
      <c r="A18" s="2">
        <v>17</v>
      </c>
      <c r="B18" s="2" t="s">
        <v>53</v>
      </c>
      <c r="C18" s="2" t="s">
        <v>54</v>
      </c>
      <c r="D18" s="2" t="s">
        <v>9</v>
      </c>
      <c r="E18" s="2" t="s">
        <v>10</v>
      </c>
      <c r="F18" s="2" t="s">
        <v>55</v>
      </c>
      <c r="G18" s="3">
        <v>35365</v>
      </c>
      <c r="H18" s="3">
        <v>45605</v>
      </c>
      <c r="I18" s="2">
        <v>6250</v>
      </c>
      <c r="K18" s="2">
        <v>6250</v>
      </c>
    </row>
    <row r="19" spans="1:11" ht="15.6" x14ac:dyDescent="0.3">
      <c r="A19" s="2">
        <v>18</v>
      </c>
      <c r="B19" s="2" t="s">
        <v>56</v>
      </c>
      <c r="C19" s="2" t="s">
        <v>57</v>
      </c>
      <c r="D19" s="2" t="s">
        <v>9</v>
      </c>
      <c r="E19" s="2" t="s">
        <v>10</v>
      </c>
      <c r="F19" s="2" t="s">
        <v>25</v>
      </c>
      <c r="G19" s="3">
        <v>36272</v>
      </c>
      <c r="H19" s="3">
        <v>45325</v>
      </c>
      <c r="I19" s="2">
        <v>8750</v>
      </c>
      <c r="K19" s="2">
        <v>8750</v>
      </c>
    </row>
    <row r="20" spans="1:11" ht="15.6" x14ac:dyDescent="0.3">
      <c r="A20" s="2">
        <v>19</v>
      </c>
      <c r="B20" s="2" t="s">
        <v>58</v>
      </c>
      <c r="C20" s="2" t="s">
        <v>59</v>
      </c>
      <c r="D20" s="2" t="s">
        <v>60</v>
      </c>
      <c r="E20" s="2" t="s">
        <v>10</v>
      </c>
      <c r="F20" s="2" t="s">
        <v>55</v>
      </c>
      <c r="G20" s="3">
        <v>36200</v>
      </c>
      <c r="H20" s="3">
        <v>45353</v>
      </c>
      <c r="I20" s="2">
        <v>11250</v>
      </c>
      <c r="K20" s="2">
        <v>11250</v>
      </c>
    </row>
    <row r="21" spans="1:11" ht="15.6" x14ac:dyDescent="0.3">
      <c r="A21" s="2">
        <v>20</v>
      </c>
      <c r="B21" s="2" t="s">
        <v>61</v>
      </c>
      <c r="C21" s="2" t="s">
        <v>62</v>
      </c>
      <c r="D21" s="2" t="s">
        <v>19</v>
      </c>
      <c r="E21" s="2" t="s">
        <v>15</v>
      </c>
      <c r="F21" s="2" t="s">
        <v>11</v>
      </c>
      <c r="G21" s="3">
        <v>34708</v>
      </c>
      <c r="H21" s="3">
        <v>45589</v>
      </c>
      <c r="I21" s="2">
        <v>10000</v>
      </c>
      <c r="K21" s="2">
        <v>10000</v>
      </c>
    </row>
  </sheetData>
  <conditionalFormatting sqref="C2:C21">
    <cfRule type="containsText" dxfId="19" priority="24" operator="containsText" text="Road">
      <formula>NOT(ISERROR(SEARCH("Road",C2)))</formula>
    </cfRule>
  </conditionalFormatting>
  <conditionalFormatting sqref="D2:D21">
    <cfRule type="uniqueValues" dxfId="18" priority="18"/>
    <cfRule type="uniqueValues" dxfId="17" priority="19"/>
    <cfRule type="uniqueValues" dxfId="16" priority="20"/>
    <cfRule type="uniqueValues" dxfId="15" priority="21"/>
    <cfRule type="duplicateValues" dxfId="14" priority="22"/>
    <cfRule type="duplicateValues" dxfId="13" priority="23"/>
  </conditionalFormatting>
  <conditionalFormatting sqref="I2:I21">
    <cfRule type="cellIs" dxfId="12" priority="25" operator="equal">
      <formula>10000</formula>
    </cfRule>
    <cfRule type="cellIs" dxfId="11" priority="26" operator="between">
      <formula>11000</formula>
      <formula>20000</formula>
    </cfRule>
    <cfRule type="cellIs" dxfId="10" priority="27" operator="between">
      <formula>10000</formula>
      <formula>20000</formula>
    </cfRule>
    <cfRule type="cellIs" dxfId="9" priority="28" operator="equal">
      <formula>10000</formula>
    </cfRule>
    <cfRule type="cellIs" dxfId="8" priority="29" operator="between">
      <formula>8000</formula>
      <formula>10000</formula>
    </cfRule>
    <cfRule type="cellIs" dxfId="7" priority="30" operator="lessThan">
      <formula>10000</formula>
    </cfRule>
    <cfRule type="cellIs" dxfId="6" priority="31" operator="greaterThan">
      <formula>10000</formula>
    </cfRule>
  </conditionalFormatting>
  <conditionalFormatting sqref="K2:K21">
    <cfRule type="aboveAverage" dxfId="5" priority="1" aboveAverage="0"/>
    <cfRule type="aboveAverage" dxfId="4" priority="2"/>
    <cfRule type="top10" dxfId="3" priority="3" percent="1" bottom="1" rank="10"/>
    <cfRule type="top10" dxfId="2" priority="5" percent="1" rank="10"/>
  </conditionalFormatting>
  <conditionalFormatting sqref="L15">
    <cfRule type="top10" dxfId="1" priority="4" percent="1" bottom="1" rank="10"/>
  </conditionalFormatting>
  <conditionalFormatting sqref="M23">
    <cfRule type="top10" dxfId="0" priority="7" bottom="1" rank="5"/>
  </conditionalFormatting>
  <dataValidations count="3">
    <dataValidation type="custom" allowBlank="1" showInputMessage="1" showErrorMessage="1" sqref="A2:A21" xr:uid="{C53F4037-6EFD-485C-B93A-D5D96F7D3D7E}">
      <formula1 xml:space="preserve"> COUNTIF($A$2:$A$21,A2) = 1</formula1>
    </dataValidation>
    <dataValidation type="custom" allowBlank="1" showInputMessage="1" showErrorMessage="1" sqref="I2:I21 K2:K21" xr:uid="{1EF3018B-BC5B-4DD7-9488-DE44ACA0B265}">
      <formula1 xml:space="preserve"> SUM($I$2:$I$21) &lt;= $I$23</formula1>
    </dataValidation>
    <dataValidation type="list" allowBlank="1" showInputMessage="1" showErrorMessage="1" sqref="F1:F21" xr:uid="{11EF0A50-156E-4F21-B2FA-A4087C7A4135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575D-3A70-4AA0-8DEC-EEB8FB4E5F54}">
  <dimension ref="A1:N21"/>
  <sheetViews>
    <sheetView tabSelected="1" topLeftCell="B1" zoomScale="115" zoomScaleNormal="115" workbookViewId="0">
      <selection activeCell="J15" sqref="J15"/>
    </sheetView>
  </sheetViews>
  <sheetFormatPr defaultRowHeight="14.4" x14ac:dyDescent="0.3"/>
  <cols>
    <col min="1" max="1" width="10.77734375" bestFit="1" customWidth="1"/>
    <col min="2" max="2" width="16.77734375" bestFit="1" customWidth="1"/>
    <col min="3" max="3" width="11.77734375" bestFit="1" customWidth="1"/>
    <col min="4" max="4" width="10.44140625" bestFit="1" customWidth="1"/>
    <col min="5" max="5" width="7.44140625" bestFit="1" customWidth="1"/>
    <col min="6" max="8" width="12.5546875" bestFit="1" customWidth="1"/>
    <col min="9" max="9" width="14.77734375" bestFit="1" customWidth="1"/>
    <col min="10" max="10" width="9.109375" customWidth="1"/>
    <col min="11" max="11" width="17" customWidth="1"/>
    <col min="12" max="12" width="19.77734375" customWidth="1"/>
    <col min="13" max="13" width="12.5546875" bestFit="1" customWidth="1"/>
    <col min="14" max="14" width="16.77734375" bestFit="1" customWidth="1"/>
    <col min="15" max="15" width="12.109375" bestFit="1" customWidth="1"/>
    <col min="17" max="17" width="11.6640625" customWidth="1"/>
    <col min="19" max="19" width="11.5546875" bestFit="1" customWidth="1"/>
    <col min="20" max="20" width="11.88671875" bestFit="1" customWidth="1"/>
    <col min="21" max="21" width="12.33203125" bestFit="1" customWidth="1"/>
    <col min="22" max="22" width="12.44140625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</v>
      </c>
      <c r="H1" s="1" t="s">
        <v>64</v>
      </c>
      <c r="I1" s="1" t="s">
        <v>6</v>
      </c>
      <c r="K1" s="1" t="s">
        <v>6</v>
      </c>
    </row>
    <row r="2" spans="1:14" ht="15.6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36831</v>
      </c>
      <c r="H2" s="3">
        <v>45514</v>
      </c>
      <c r="I2" s="2">
        <v>6250</v>
      </c>
      <c r="K2" s="2">
        <v>6250</v>
      </c>
      <c r="L2" s="2">
        <v>6250</v>
      </c>
    </row>
    <row r="3" spans="1:14" ht="15.6" x14ac:dyDescent="0.3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>
        <v>36306</v>
      </c>
      <c r="H3" s="3">
        <v>45293</v>
      </c>
      <c r="I3" s="2">
        <v>8750</v>
      </c>
      <c r="K3" s="2">
        <v>8750</v>
      </c>
      <c r="L3" s="2">
        <v>8750</v>
      </c>
    </row>
    <row r="4" spans="1:14" ht="15.6" x14ac:dyDescent="0.3">
      <c r="A4" s="2">
        <v>3</v>
      </c>
      <c r="B4" s="2" t="s">
        <v>17</v>
      </c>
      <c r="C4" s="2" t="s">
        <v>18</v>
      </c>
      <c r="D4" s="2" t="s">
        <v>19</v>
      </c>
      <c r="E4" s="2" t="s">
        <v>15</v>
      </c>
      <c r="F4" s="2" t="s">
        <v>20</v>
      </c>
      <c r="G4" s="3">
        <v>37038</v>
      </c>
      <c r="H4" s="3">
        <v>45403</v>
      </c>
      <c r="I4" s="2">
        <v>11250</v>
      </c>
      <c r="K4" s="2">
        <v>11250</v>
      </c>
      <c r="L4" s="2">
        <v>11250</v>
      </c>
    </row>
    <row r="5" spans="1:14" ht="15.6" x14ac:dyDescent="0.3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3">
        <v>34632</v>
      </c>
      <c r="H5" s="3">
        <v>45641</v>
      </c>
      <c r="I5" s="2">
        <v>10000</v>
      </c>
      <c r="K5" s="2">
        <v>10000</v>
      </c>
      <c r="L5" s="2">
        <v>10000</v>
      </c>
    </row>
    <row r="6" spans="1:14" ht="15.6" x14ac:dyDescent="0.3">
      <c r="A6" s="2">
        <v>5</v>
      </c>
      <c r="B6" s="2" t="s">
        <v>26</v>
      </c>
      <c r="C6" s="2" t="s">
        <v>27</v>
      </c>
      <c r="D6" s="2" t="s">
        <v>14</v>
      </c>
      <c r="E6" s="2" t="s">
        <v>15</v>
      </c>
      <c r="F6" s="2" t="s">
        <v>11</v>
      </c>
      <c r="G6" s="3">
        <v>34491</v>
      </c>
      <c r="H6" s="3">
        <v>45350</v>
      </c>
      <c r="I6" s="2">
        <v>16250</v>
      </c>
      <c r="K6" s="2">
        <v>16250</v>
      </c>
      <c r="L6" s="2">
        <v>16250</v>
      </c>
    </row>
    <row r="7" spans="1:14" ht="15.6" x14ac:dyDescent="0.3">
      <c r="A7" s="2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16</v>
      </c>
      <c r="G7" s="3">
        <v>35484</v>
      </c>
      <c r="H7" s="3">
        <v>45383</v>
      </c>
      <c r="I7" s="2">
        <v>6400</v>
      </c>
      <c r="K7" s="2">
        <v>-6400</v>
      </c>
      <c r="L7" s="2">
        <v>-6400</v>
      </c>
    </row>
    <row r="8" spans="1:14" ht="15.6" x14ac:dyDescent="0.3">
      <c r="A8" s="2">
        <v>7</v>
      </c>
      <c r="B8" s="2" t="s">
        <v>32</v>
      </c>
      <c r="C8" s="2" t="s">
        <v>33</v>
      </c>
      <c r="D8" s="2" t="s">
        <v>34</v>
      </c>
      <c r="E8" s="2" t="s">
        <v>31</v>
      </c>
      <c r="F8" s="2" t="s">
        <v>66</v>
      </c>
      <c r="G8" s="3">
        <v>34562</v>
      </c>
      <c r="H8" s="3">
        <v>45456</v>
      </c>
      <c r="I8" s="2">
        <v>6500</v>
      </c>
      <c r="K8" s="2">
        <v>6500</v>
      </c>
      <c r="L8" s="2">
        <v>6500</v>
      </c>
      <c r="N8" t="s">
        <v>69</v>
      </c>
    </row>
    <row r="9" spans="1:14" ht="15.6" x14ac:dyDescent="0.3">
      <c r="A9" s="2">
        <v>8</v>
      </c>
      <c r="B9" s="2" t="s">
        <v>35</v>
      </c>
      <c r="C9" s="2" t="s">
        <v>36</v>
      </c>
      <c r="D9" s="2" t="s">
        <v>34</v>
      </c>
      <c r="E9" s="2" t="s">
        <v>24</v>
      </c>
      <c r="F9" s="2" t="s">
        <v>25</v>
      </c>
      <c r="G9" s="3">
        <v>34815</v>
      </c>
      <c r="H9" s="3">
        <v>45460</v>
      </c>
      <c r="I9" s="2">
        <v>6275</v>
      </c>
      <c r="K9" s="2">
        <v>6275</v>
      </c>
      <c r="L9" s="2">
        <v>6275</v>
      </c>
    </row>
    <row r="10" spans="1:14" ht="15.6" x14ac:dyDescent="0.3">
      <c r="A10" s="2">
        <v>9</v>
      </c>
      <c r="B10" s="2" t="s">
        <v>37</v>
      </c>
      <c r="C10" s="2" t="s">
        <v>38</v>
      </c>
      <c r="D10" s="2" t="s">
        <v>9</v>
      </c>
      <c r="E10" s="2" t="s">
        <v>10</v>
      </c>
      <c r="F10" s="2" t="s">
        <v>11</v>
      </c>
      <c r="G10" s="3">
        <v>35712</v>
      </c>
      <c r="H10" s="3">
        <v>45644</v>
      </c>
      <c r="I10" s="2">
        <v>6250</v>
      </c>
      <c r="K10" s="2">
        <v>2345</v>
      </c>
      <c r="L10" s="2">
        <v>6250</v>
      </c>
    </row>
    <row r="11" spans="1:14" ht="15.6" x14ac:dyDescent="0.3">
      <c r="A11" s="2">
        <v>10</v>
      </c>
      <c r="B11" s="2" t="s">
        <v>39</v>
      </c>
      <c r="C11" s="2" t="s">
        <v>40</v>
      </c>
      <c r="D11" s="2" t="s">
        <v>41</v>
      </c>
      <c r="E11" s="2" t="s">
        <v>24</v>
      </c>
      <c r="F11" s="2" t="s">
        <v>16</v>
      </c>
      <c r="G11" s="3">
        <v>34620</v>
      </c>
      <c r="H11" s="3">
        <v>45366</v>
      </c>
      <c r="I11" s="2">
        <v>8750</v>
      </c>
      <c r="K11" s="2">
        <v>8750</v>
      </c>
      <c r="L11" s="2">
        <v>8750</v>
      </c>
    </row>
    <row r="12" spans="1:14" ht="15.6" x14ac:dyDescent="0.3">
      <c r="A12" s="2">
        <v>11</v>
      </c>
      <c r="B12" s="2" t="s">
        <v>42</v>
      </c>
      <c r="C12" s="2" t="s">
        <v>43</v>
      </c>
      <c r="D12" s="2" t="s">
        <v>41</v>
      </c>
      <c r="E12" s="2" t="s">
        <v>24</v>
      </c>
      <c r="F12" s="2" t="s">
        <v>20</v>
      </c>
      <c r="G12" s="3">
        <v>36269</v>
      </c>
      <c r="H12" s="3">
        <v>45377</v>
      </c>
      <c r="I12" s="2">
        <v>11250</v>
      </c>
      <c r="K12" s="2">
        <v>11250</v>
      </c>
      <c r="L12" s="2">
        <v>11250</v>
      </c>
    </row>
    <row r="13" spans="1:14" ht="15.6" x14ac:dyDescent="0.3">
      <c r="A13" s="2">
        <v>12</v>
      </c>
      <c r="B13" s="2" t="s">
        <v>44</v>
      </c>
      <c r="C13" s="2" t="s">
        <v>45</v>
      </c>
      <c r="D13" s="2" t="s">
        <v>46</v>
      </c>
      <c r="E13" s="2" t="s">
        <v>24</v>
      </c>
      <c r="F13" s="2" t="s">
        <v>25</v>
      </c>
      <c r="G13" s="3">
        <v>36443</v>
      </c>
      <c r="H13" s="3">
        <v>45513</v>
      </c>
      <c r="I13" s="2">
        <v>10000</v>
      </c>
      <c r="K13" s="2">
        <v>10000</v>
      </c>
      <c r="L13" s="2">
        <v>10000</v>
      </c>
    </row>
    <row r="14" spans="1:14" ht="15.6" x14ac:dyDescent="0.3">
      <c r="A14" s="2">
        <v>13</v>
      </c>
      <c r="B14" s="2" t="s">
        <v>47</v>
      </c>
      <c r="C14" s="2" t="s">
        <v>13</v>
      </c>
      <c r="D14" s="2" t="s">
        <v>48</v>
      </c>
      <c r="E14" s="2" t="s">
        <v>24</v>
      </c>
      <c r="F14" s="2" t="s">
        <v>11</v>
      </c>
      <c r="G14" s="3">
        <v>35771</v>
      </c>
      <c r="H14" s="3">
        <v>45416</v>
      </c>
      <c r="I14" s="2">
        <v>16250</v>
      </c>
      <c r="K14" s="2">
        <v>16250</v>
      </c>
      <c r="L14" s="2">
        <v>16250</v>
      </c>
    </row>
    <row r="15" spans="1:14" ht="15.6" x14ac:dyDescent="0.3">
      <c r="A15" s="2">
        <v>14</v>
      </c>
      <c r="B15" s="2" t="s">
        <v>49</v>
      </c>
      <c r="C15" s="2" t="s">
        <v>18</v>
      </c>
      <c r="D15" s="2" t="s">
        <v>46</v>
      </c>
      <c r="E15" s="2" t="s">
        <v>24</v>
      </c>
      <c r="F15" s="2" t="s">
        <v>16</v>
      </c>
      <c r="G15" s="3">
        <v>36426</v>
      </c>
      <c r="H15" s="3">
        <v>45470</v>
      </c>
      <c r="I15" s="2">
        <v>6400</v>
      </c>
      <c r="K15" s="2">
        <v>6400</v>
      </c>
      <c r="L15" s="2">
        <v>6400</v>
      </c>
    </row>
    <row r="16" spans="1:14" ht="15.6" x14ac:dyDescent="0.3">
      <c r="A16" s="2">
        <v>15</v>
      </c>
      <c r="B16" s="2" t="s">
        <v>50</v>
      </c>
      <c r="C16" s="2" t="s">
        <v>51</v>
      </c>
      <c r="D16" s="2" t="s">
        <v>14</v>
      </c>
      <c r="E16" s="2" t="s">
        <v>15</v>
      </c>
      <c r="F16" s="2" t="s">
        <v>66</v>
      </c>
      <c r="G16" s="3">
        <v>37313</v>
      </c>
      <c r="H16" s="3">
        <v>45315</v>
      </c>
      <c r="I16" s="2">
        <v>4500</v>
      </c>
      <c r="K16" s="2">
        <v>-4500</v>
      </c>
      <c r="L16" s="2">
        <v>-4500</v>
      </c>
    </row>
    <row r="17" spans="1:12" ht="15.6" x14ac:dyDescent="0.3">
      <c r="A17" s="2">
        <v>16</v>
      </c>
      <c r="B17" s="2" t="s">
        <v>52</v>
      </c>
      <c r="C17" s="2" t="s">
        <v>36</v>
      </c>
      <c r="D17" s="2" t="s">
        <v>46</v>
      </c>
      <c r="E17" s="2" t="s">
        <v>24</v>
      </c>
      <c r="F17" s="2" t="s">
        <v>25</v>
      </c>
      <c r="G17" s="3">
        <v>34815</v>
      </c>
      <c r="H17" s="3">
        <v>45626</v>
      </c>
      <c r="I17" s="2">
        <v>6275</v>
      </c>
      <c r="K17" s="2">
        <v>6275</v>
      </c>
      <c r="L17" s="2">
        <v>6275</v>
      </c>
    </row>
    <row r="18" spans="1:12" ht="15.6" x14ac:dyDescent="0.3">
      <c r="A18" s="2">
        <v>17</v>
      </c>
      <c r="B18" s="2" t="s">
        <v>53</v>
      </c>
      <c r="C18" s="2" t="s">
        <v>54</v>
      </c>
      <c r="D18" s="2" t="s">
        <v>9</v>
      </c>
      <c r="E18" s="2" t="s">
        <v>10</v>
      </c>
      <c r="F18" s="2" t="s">
        <v>55</v>
      </c>
      <c r="G18" s="3">
        <v>35365</v>
      </c>
      <c r="H18" s="3">
        <v>45605</v>
      </c>
      <c r="I18" s="2">
        <v>6250</v>
      </c>
      <c r="K18" s="2">
        <v>6250</v>
      </c>
      <c r="L18" s="2">
        <v>6250</v>
      </c>
    </row>
    <row r="19" spans="1:12" ht="15.6" x14ac:dyDescent="0.3">
      <c r="A19" s="2">
        <v>18</v>
      </c>
      <c r="B19" s="2" t="s">
        <v>56</v>
      </c>
      <c r="C19" s="2" t="s">
        <v>57</v>
      </c>
      <c r="D19" s="2" t="s">
        <v>9</v>
      </c>
      <c r="E19" s="2" t="s">
        <v>10</v>
      </c>
      <c r="F19" s="2" t="s">
        <v>25</v>
      </c>
      <c r="G19" s="3">
        <v>36272</v>
      </c>
      <c r="H19" s="3">
        <v>45325</v>
      </c>
      <c r="I19" s="2">
        <v>8750</v>
      </c>
      <c r="K19" s="2">
        <v>8750</v>
      </c>
      <c r="L19" s="2">
        <v>8750</v>
      </c>
    </row>
    <row r="20" spans="1:12" ht="15.6" x14ac:dyDescent="0.3">
      <c r="A20" s="2">
        <v>19</v>
      </c>
      <c r="B20" s="2" t="s">
        <v>58</v>
      </c>
      <c r="C20" s="2" t="s">
        <v>59</v>
      </c>
      <c r="D20" s="2" t="s">
        <v>60</v>
      </c>
      <c r="E20" s="2" t="s">
        <v>10</v>
      </c>
      <c r="F20" s="2" t="s">
        <v>55</v>
      </c>
      <c r="G20" s="3">
        <v>36200</v>
      </c>
      <c r="H20" s="3">
        <v>45353</v>
      </c>
      <c r="I20" s="2">
        <v>11250</v>
      </c>
      <c r="K20" s="2">
        <v>11250</v>
      </c>
      <c r="L20" s="2">
        <v>11250</v>
      </c>
    </row>
    <row r="21" spans="1:12" ht="15.6" x14ac:dyDescent="0.3">
      <c r="A21" s="2">
        <v>20</v>
      </c>
      <c r="B21" s="2" t="s">
        <v>61</v>
      </c>
      <c r="C21" s="2" t="s">
        <v>62</v>
      </c>
      <c r="D21" s="2" t="s">
        <v>19</v>
      </c>
      <c r="E21" s="2" t="s">
        <v>15</v>
      </c>
      <c r="F21" s="2" t="s">
        <v>11</v>
      </c>
      <c r="G21" s="3">
        <v>34708</v>
      </c>
      <c r="H21" s="3">
        <v>45589</v>
      </c>
      <c r="I21" s="2">
        <v>10000</v>
      </c>
      <c r="K21" s="2">
        <v>10000</v>
      </c>
      <c r="L21" s="2">
        <v>10000</v>
      </c>
    </row>
  </sheetData>
  <conditionalFormatting sqref="L2:L21"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{D5C17E01-DFEA-43CD-96DB-7D99F52AC5E2}</x14:id>
        </ext>
      </extLst>
    </cfRule>
  </conditionalFormatting>
  <conditionalFormatting sqref="I2:I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custom" allowBlank="1" showInputMessage="1" showErrorMessage="1" sqref="I2:I21 K2:L21" xr:uid="{DE4CF0AA-D538-4D38-A480-A55495884897}">
      <formula1 xml:space="preserve"> SUM($I$2:$I$21) &lt;= $I$23</formula1>
    </dataValidation>
    <dataValidation type="custom" allowBlank="1" showInputMessage="1" showErrorMessage="1" sqref="A2:A21" xr:uid="{9FA917A9-AC4B-4AD5-9D89-0520B7EC7459}">
      <formula1 xml:space="preserve"> COUNTIF($A$2:$A$21,A2) = 1</formula1>
    </dataValidation>
    <dataValidation type="list" allowBlank="1" showInputMessage="1" showErrorMessage="1" sqref="F1:F21" xr:uid="{FD07E728-2D63-472C-A200-2B0293513BC0}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C17E01-DFEA-43CD-96DB-7D99F52AC5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L2:L21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01B5-E2F5-4FAE-AE2F-EB40A9C2C51D}">
  <dimension ref="A1:L21"/>
  <sheetViews>
    <sheetView zoomScale="87" zoomScaleNormal="60" workbookViewId="0">
      <selection activeCell="D1" sqref="D1:D21"/>
    </sheetView>
  </sheetViews>
  <sheetFormatPr defaultRowHeight="14.4" x14ac:dyDescent="0.3"/>
  <cols>
    <col min="1" max="1" width="10.77734375" bestFit="1" customWidth="1"/>
    <col min="2" max="2" width="16.77734375" bestFit="1" customWidth="1"/>
    <col min="3" max="3" width="11.77734375" bestFit="1" customWidth="1"/>
    <col min="4" max="4" width="10.44140625" bestFit="1" customWidth="1"/>
    <col min="5" max="5" width="7.44140625" bestFit="1" customWidth="1"/>
    <col min="6" max="8" width="12.5546875" bestFit="1" customWidth="1"/>
    <col min="9" max="9" width="14.77734375" bestFit="1" customWidth="1"/>
    <col min="10" max="10" width="9.109375" customWidth="1"/>
    <col min="11" max="11" width="15.6640625" bestFit="1" customWidth="1"/>
    <col min="12" max="12" width="15.6640625" customWidth="1"/>
    <col min="13" max="13" width="12.5546875" bestFit="1" customWidth="1"/>
    <col min="14" max="14" width="16.77734375" bestFit="1" customWidth="1"/>
    <col min="15" max="15" width="12.109375" bestFit="1" customWidth="1"/>
    <col min="17" max="17" width="11.6640625" customWidth="1"/>
    <col min="19" max="19" width="11.5546875" bestFit="1" customWidth="1"/>
    <col min="20" max="20" width="11.88671875" bestFit="1" customWidth="1"/>
    <col min="21" max="21" width="12.33203125" bestFit="1" customWidth="1"/>
    <col min="22" max="22" width="12.44140625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</v>
      </c>
      <c r="H1" s="1" t="s">
        <v>64</v>
      </c>
      <c r="I1" s="1" t="s">
        <v>6</v>
      </c>
      <c r="J1" s="1" t="s">
        <v>65</v>
      </c>
      <c r="L1" s="1"/>
    </row>
    <row r="2" spans="1:12" ht="15.6" x14ac:dyDescent="0.3">
      <c r="A2" s="2">
        <v>18</v>
      </c>
      <c r="B2" s="2" t="s">
        <v>56</v>
      </c>
      <c r="C2" s="2" t="s">
        <v>57</v>
      </c>
      <c r="D2" s="2" t="s">
        <v>9</v>
      </c>
      <c r="E2" s="2" t="s">
        <v>10</v>
      </c>
      <c r="F2" s="7" t="s">
        <v>25</v>
      </c>
      <c r="G2" s="3">
        <v>36272</v>
      </c>
      <c r="H2" s="3">
        <v>45325</v>
      </c>
      <c r="I2" s="4">
        <v>8750</v>
      </c>
      <c r="J2" s="5">
        <f t="shared" ref="J2:J21" ca="1" si="0" xml:space="preserve"> YEAR(TODAY()) - YEAR(G2)</f>
        <v>27</v>
      </c>
    </row>
    <row r="3" spans="1:12" ht="15.6" x14ac:dyDescent="0.3">
      <c r="A3" s="2">
        <v>17</v>
      </c>
      <c r="B3" s="2" t="s">
        <v>53</v>
      </c>
      <c r="C3" s="2" t="s">
        <v>54</v>
      </c>
      <c r="D3" s="2" t="s">
        <v>9</v>
      </c>
      <c r="E3" s="2" t="s">
        <v>10</v>
      </c>
      <c r="F3" s="2" t="s">
        <v>55</v>
      </c>
      <c r="G3" s="3">
        <v>35365</v>
      </c>
      <c r="H3" s="3">
        <v>45605</v>
      </c>
      <c r="I3" s="4">
        <v>6250</v>
      </c>
      <c r="J3" s="5">
        <f t="shared" ca="1" si="0"/>
        <v>30</v>
      </c>
    </row>
    <row r="4" spans="1:12" ht="15.6" x14ac:dyDescent="0.3">
      <c r="A4" s="2">
        <v>1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3">
        <v>36831</v>
      </c>
      <c r="H4" s="3">
        <v>45514</v>
      </c>
      <c r="I4" s="4">
        <v>6250</v>
      </c>
      <c r="J4" s="5">
        <f t="shared" ca="1" si="0"/>
        <v>26</v>
      </c>
    </row>
    <row r="5" spans="1:12" ht="15.6" x14ac:dyDescent="0.3">
      <c r="A5" s="2">
        <v>9</v>
      </c>
      <c r="B5" s="2" t="s">
        <v>37</v>
      </c>
      <c r="C5" s="2" t="s">
        <v>38</v>
      </c>
      <c r="D5" s="2" t="s">
        <v>9</v>
      </c>
      <c r="E5" s="2" t="s">
        <v>10</v>
      </c>
      <c r="F5" s="2" t="s">
        <v>11</v>
      </c>
      <c r="G5" s="3">
        <v>35712</v>
      </c>
      <c r="H5" s="3">
        <v>45644</v>
      </c>
      <c r="I5" s="4">
        <v>6250</v>
      </c>
      <c r="J5" s="5">
        <f t="shared" ca="1" si="0"/>
        <v>29</v>
      </c>
    </row>
    <row r="6" spans="1:12" ht="15.6" x14ac:dyDescent="0.3">
      <c r="A6" s="2">
        <v>2</v>
      </c>
      <c r="B6" s="2" t="s">
        <v>12</v>
      </c>
      <c r="C6" s="2" t="s">
        <v>13</v>
      </c>
      <c r="D6" s="2" t="s">
        <v>14</v>
      </c>
      <c r="E6" s="2" t="s">
        <v>15</v>
      </c>
      <c r="F6" s="6" t="s">
        <v>16</v>
      </c>
      <c r="G6" s="3">
        <v>36306</v>
      </c>
      <c r="H6" s="3">
        <v>45293</v>
      </c>
      <c r="I6" s="4">
        <v>8750</v>
      </c>
      <c r="J6" s="5">
        <f t="shared" ca="1" si="0"/>
        <v>27</v>
      </c>
    </row>
    <row r="7" spans="1:12" ht="15.6" x14ac:dyDescent="0.3">
      <c r="A7" s="2">
        <v>5</v>
      </c>
      <c r="B7" s="2" t="s">
        <v>26</v>
      </c>
      <c r="C7" s="2" t="s">
        <v>27</v>
      </c>
      <c r="D7" s="2" t="s">
        <v>14</v>
      </c>
      <c r="E7" s="2" t="s">
        <v>15</v>
      </c>
      <c r="F7" s="6" t="s">
        <v>11</v>
      </c>
      <c r="G7" s="3">
        <v>34491</v>
      </c>
      <c r="H7" s="3">
        <v>45350</v>
      </c>
      <c r="I7" s="4">
        <v>16250</v>
      </c>
      <c r="J7" s="5">
        <f t="shared" ca="1" si="0"/>
        <v>32</v>
      </c>
    </row>
    <row r="8" spans="1:12" ht="15.6" x14ac:dyDescent="0.3">
      <c r="A8" s="2">
        <v>15</v>
      </c>
      <c r="B8" s="2" t="s">
        <v>50</v>
      </c>
      <c r="C8" s="2" t="s">
        <v>51</v>
      </c>
      <c r="D8" s="2" t="s">
        <v>14</v>
      </c>
      <c r="E8" s="2" t="s">
        <v>15</v>
      </c>
      <c r="F8" s="2" t="s">
        <v>66</v>
      </c>
      <c r="G8" s="3">
        <v>37313</v>
      </c>
      <c r="H8" s="3">
        <v>45315</v>
      </c>
      <c r="I8" s="4">
        <v>4500</v>
      </c>
      <c r="J8" s="5">
        <f t="shared" ca="1" si="0"/>
        <v>24</v>
      </c>
    </row>
    <row r="9" spans="1:12" ht="15.6" x14ac:dyDescent="0.3">
      <c r="A9" s="2">
        <v>11</v>
      </c>
      <c r="B9" s="2" t="s">
        <v>42</v>
      </c>
      <c r="C9" s="2" t="s">
        <v>43</v>
      </c>
      <c r="D9" s="2" t="s">
        <v>41</v>
      </c>
      <c r="E9" s="2" t="s">
        <v>24</v>
      </c>
      <c r="F9" s="2" t="s">
        <v>20</v>
      </c>
      <c r="G9" s="3">
        <v>36269</v>
      </c>
      <c r="H9" s="3">
        <v>45377</v>
      </c>
      <c r="I9" s="4">
        <v>11250</v>
      </c>
      <c r="J9" s="5">
        <f t="shared" ca="1" si="0"/>
        <v>27</v>
      </c>
    </row>
    <row r="10" spans="1:12" ht="15.6" x14ac:dyDescent="0.3">
      <c r="A10" s="2">
        <v>10</v>
      </c>
      <c r="B10" s="2" t="s">
        <v>39</v>
      </c>
      <c r="C10" s="2" t="s">
        <v>40</v>
      </c>
      <c r="D10" s="2" t="s">
        <v>41</v>
      </c>
      <c r="E10" s="2" t="s">
        <v>24</v>
      </c>
      <c r="F10" s="8" t="s">
        <v>16</v>
      </c>
      <c r="G10" s="3">
        <v>34620</v>
      </c>
      <c r="H10" s="3">
        <v>45366</v>
      </c>
      <c r="I10" s="4">
        <v>8750</v>
      </c>
      <c r="J10" s="5">
        <f t="shared" ca="1" si="0"/>
        <v>32</v>
      </c>
    </row>
    <row r="11" spans="1:12" ht="15.6" x14ac:dyDescent="0.3">
      <c r="A11" s="2">
        <v>4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3">
        <v>34632</v>
      </c>
      <c r="H11" s="3">
        <v>45641</v>
      </c>
      <c r="I11" s="4">
        <v>10000</v>
      </c>
      <c r="J11" s="5">
        <f t="shared" ca="1" si="0"/>
        <v>32</v>
      </c>
    </row>
    <row r="12" spans="1:12" ht="15.6" x14ac:dyDescent="0.3">
      <c r="A12" s="2">
        <v>6</v>
      </c>
      <c r="B12" s="2" t="s">
        <v>28</v>
      </c>
      <c r="C12" s="2" t="s">
        <v>29</v>
      </c>
      <c r="D12" s="2" t="s">
        <v>30</v>
      </c>
      <c r="E12" s="2" t="s">
        <v>31</v>
      </c>
      <c r="F12" s="8" t="s">
        <v>16</v>
      </c>
      <c r="G12" s="3">
        <v>35484</v>
      </c>
      <c r="H12" s="3">
        <v>45383</v>
      </c>
      <c r="I12" s="4">
        <v>6400</v>
      </c>
      <c r="J12" s="5">
        <f t="shared" ca="1" si="0"/>
        <v>29</v>
      </c>
    </row>
    <row r="13" spans="1:12" ht="15.6" x14ac:dyDescent="0.3">
      <c r="A13" s="2">
        <v>7</v>
      </c>
      <c r="B13" s="2" t="s">
        <v>32</v>
      </c>
      <c r="C13" s="2" t="s">
        <v>33</v>
      </c>
      <c r="D13" s="2" t="s">
        <v>34</v>
      </c>
      <c r="E13" s="2" t="s">
        <v>31</v>
      </c>
      <c r="F13" s="2" t="s">
        <v>66</v>
      </c>
      <c r="G13" s="3">
        <v>34562</v>
      </c>
      <c r="H13" s="3">
        <v>45456</v>
      </c>
      <c r="I13" s="4">
        <v>6500</v>
      </c>
      <c r="J13" s="5">
        <f t="shared" ca="1" si="0"/>
        <v>32</v>
      </c>
    </row>
    <row r="14" spans="1:12" ht="15.6" x14ac:dyDescent="0.3">
      <c r="A14" s="2">
        <v>8</v>
      </c>
      <c r="B14" s="2" t="s">
        <v>35</v>
      </c>
      <c r="C14" s="2" t="s">
        <v>36</v>
      </c>
      <c r="D14" s="2" t="s">
        <v>34</v>
      </c>
      <c r="E14" s="2" t="s">
        <v>24</v>
      </c>
      <c r="F14" s="2" t="s">
        <v>25</v>
      </c>
      <c r="G14" s="3">
        <v>34815</v>
      </c>
      <c r="H14" s="3">
        <v>45460</v>
      </c>
      <c r="I14" s="4">
        <v>6275</v>
      </c>
      <c r="J14" s="5">
        <f t="shared" ca="1" si="0"/>
        <v>31</v>
      </c>
    </row>
    <row r="15" spans="1:12" ht="15.6" x14ac:dyDescent="0.3">
      <c r="A15" s="2">
        <v>12</v>
      </c>
      <c r="B15" s="2" t="s">
        <v>44</v>
      </c>
      <c r="C15" s="2" t="s">
        <v>45</v>
      </c>
      <c r="D15" s="2" t="s">
        <v>46</v>
      </c>
      <c r="E15" s="2" t="s">
        <v>24</v>
      </c>
      <c r="F15" s="6" t="s">
        <v>25</v>
      </c>
      <c r="G15" s="3">
        <v>36443</v>
      </c>
      <c r="H15" s="3">
        <v>45513</v>
      </c>
      <c r="I15" s="4">
        <v>10000</v>
      </c>
      <c r="J15" s="5">
        <f t="shared" ca="1" si="0"/>
        <v>27</v>
      </c>
    </row>
    <row r="16" spans="1:12" ht="15.6" x14ac:dyDescent="0.3">
      <c r="A16" s="2">
        <v>14</v>
      </c>
      <c r="B16" s="2" t="s">
        <v>49</v>
      </c>
      <c r="C16" s="2" t="s">
        <v>18</v>
      </c>
      <c r="D16" s="2" t="s">
        <v>46</v>
      </c>
      <c r="E16" s="2" t="s">
        <v>24</v>
      </c>
      <c r="F16" s="2" t="s">
        <v>16</v>
      </c>
      <c r="G16" s="3">
        <v>36426</v>
      </c>
      <c r="H16" s="3">
        <v>45470</v>
      </c>
      <c r="I16" s="4">
        <v>6400</v>
      </c>
      <c r="J16" s="5">
        <f t="shared" ca="1" si="0"/>
        <v>27</v>
      </c>
    </row>
    <row r="17" spans="1:10" ht="15.6" x14ac:dyDescent="0.3">
      <c r="A17" s="2">
        <v>16</v>
      </c>
      <c r="B17" s="2" t="s">
        <v>52</v>
      </c>
      <c r="C17" s="2" t="s">
        <v>36</v>
      </c>
      <c r="D17" s="2" t="s">
        <v>46</v>
      </c>
      <c r="E17" s="2" t="s">
        <v>24</v>
      </c>
      <c r="F17" s="8" t="s">
        <v>25</v>
      </c>
      <c r="G17" s="3">
        <v>34815</v>
      </c>
      <c r="H17" s="3">
        <v>45626</v>
      </c>
      <c r="I17" s="4">
        <v>6275</v>
      </c>
      <c r="J17" s="5">
        <f t="shared" ca="1" si="0"/>
        <v>31</v>
      </c>
    </row>
    <row r="18" spans="1:10" ht="15.6" x14ac:dyDescent="0.3">
      <c r="A18" s="2">
        <v>13</v>
      </c>
      <c r="B18" s="2" t="s">
        <v>47</v>
      </c>
      <c r="C18" s="2" t="s">
        <v>13</v>
      </c>
      <c r="D18" s="2" t="s">
        <v>48</v>
      </c>
      <c r="E18" s="2" t="s">
        <v>24</v>
      </c>
      <c r="F18" s="7" t="s">
        <v>11</v>
      </c>
      <c r="G18" s="3">
        <v>35771</v>
      </c>
      <c r="H18" s="3">
        <v>45416</v>
      </c>
      <c r="I18" s="4">
        <v>16250</v>
      </c>
      <c r="J18" s="5">
        <f t="shared" ca="1" si="0"/>
        <v>29</v>
      </c>
    </row>
    <row r="19" spans="1:10" ht="15.6" x14ac:dyDescent="0.3">
      <c r="A19" s="2">
        <v>20</v>
      </c>
      <c r="B19" s="2" t="s">
        <v>61</v>
      </c>
      <c r="C19" s="2" t="s">
        <v>62</v>
      </c>
      <c r="D19" s="2" t="s">
        <v>19</v>
      </c>
      <c r="E19" s="2" t="s">
        <v>15</v>
      </c>
      <c r="F19" s="2" t="s">
        <v>11</v>
      </c>
      <c r="G19" s="3">
        <v>34708</v>
      </c>
      <c r="H19" s="3">
        <v>45589</v>
      </c>
      <c r="I19" s="4">
        <v>10000</v>
      </c>
      <c r="J19" s="5">
        <f t="shared" ca="1" si="0"/>
        <v>31</v>
      </c>
    </row>
    <row r="20" spans="1:10" ht="15.6" x14ac:dyDescent="0.3">
      <c r="A20" s="2">
        <v>3</v>
      </c>
      <c r="B20" s="2" t="s">
        <v>17</v>
      </c>
      <c r="C20" s="2" t="s">
        <v>18</v>
      </c>
      <c r="D20" s="2" t="s">
        <v>19</v>
      </c>
      <c r="E20" s="2" t="s">
        <v>15</v>
      </c>
      <c r="F20" s="2" t="s">
        <v>20</v>
      </c>
      <c r="G20" s="3">
        <v>37038</v>
      </c>
      <c r="H20" s="3">
        <v>45403</v>
      </c>
      <c r="I20" s="4">
        <v>11250</v>
      </c>
      <c r="J20" s="5">
        <f t="shared" ca="1" si="0"/>
        <v>25</v>
      </c>
    </row>
    <row r="21" spans="1:10" ht="15.6" x14ac:dyDescent="0.3">
      <c r="A21" s="2">
        <v>19</v>
      </c>
      <c r="B21" s="2" t="s">
        <v>58</v>
      </c>
      <c r="C21" s="2" t="s">
        <v>59</v>
      </c>
      <c r="D21" s="2" t="s">
        <v>60</v>
      </c>
      <c r="E21" s="2" t="s">
        <v>10</v>
      </c>
      <c r="F21" s="2" t="s">
        <v>55</v>
      </c>
      <c r="G21" s="3">
        <v>36200</v>
      </c>
      <c r="H21" s="3">
        <v>45353</v>
      </c>
      <c r="I21" s="4">
        <v>11250</v>
      </c>
      <c r="J21" s="5">
        <f t="shared" ca="1" si="0"/>
        <v>27</v>
      </c>
    </row>
  </sheetData>
  <sortState xmlns:xlrd2="http://schemas.microsoft.com/office/spreadsheetml/2017/richdata2" ref="A2:J21">
    <sortCondition ref="D2:D21" customList="Mumbai,Delhi,Banglore"/>
  </sortState>
  <conditionalFormatting sqref="I2:I21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3">
    <dataValidation type="list" allowBlank="1" showInputMessage="1" showErrorMessage="1" sqref="L2" xr:uid="{AE105864-6C9F-43EE-AEE1-643AEE94144D}">
      <formula1>"N,E,S,W"</formula1>
    </dataValidation>
    <dataValidation type="custom" allowBlank="1" showInputMessage="1" showErrorMessage="1" sqref="A2:A21" xr:uid="{6CA612C7-82C9-4275-8097-57610412E258}">
      <formula1 xml:space="preserve"> COUNTIF($A$2:$A$21,A2) = 1</formula1>
    </dataValidation>
    <dataValidation type="custom" allowBlank="1" showInputMessage="1" showErrorMessage="1" sqref="I2:I21" xr:uid="{904011B4-D50B-4738-8DAD-572DF456369E}">
      <formula1 xml:space="preserve"> SUM($I$2:$I$21) &lt;= $I$23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C81E-992B-4BB4-A51D-912B01C87D6F}">
  <dimension ref="A1:U41"/>
  <sheetViews>
    <sheetView topLeftCell="G1" zoomScale="102" zoomScaleNormal="60" workbookViewId="0">
      <selection sqref="A1:J21"/>
    </sheetView>
  </sheetViews>
  <sheetFormatPr defaultRowHeight="14.4" x14ac:dyDescent="0.3"/>
  <cols>
    <col min="1" max="1" width="10.77734375" bestFit="1" customWidth="1"/>
    <col min="2" max="2" width="16.77734375" bestFit="1" customWidth="1"/>
    <col min="3" max="3" width="11.77734375" bestFit="1" customWidth="1"/>
    <col min="4" max="4" width="10.44140625" bestFit="1" customWidth="1"/>
    <col min="5" max="5" width="7.44140625" bestFit="1" customWidth="1"/>
    <col min="6" max="8" width="12.5546875" bestFit="1" customWidth="1"/>
    <col min="9" max="9" width="14.77734375" bestFit="1" customWidth="1"/>
    <col min="10" max="10" width="9.109375" customWidth="1"/>
    <col min="11" max="11" width="15.6640625" bestFit="1" customWidth="1"/>
    <col min="12" max="12" width="15.6640625" customWidth="1"/>
    <col min="13" max="13" width="12.5546875" bestFit="1" customWidth="1"/>
    <col min="14" max="14" width="16.77734375" bestFit="1" customWidth="1"/>
    <col min="15" max="15" width="12.109375" bestFit="1" customWidth="1"/>
    <col min="17" max="17" width="11.6640625" customWidth="1"/>
    <col min="18" max="18" width="11.44140625" bestFit="1" customWidth="1"/>
    <col min="19" max="19" width="11.6640625" bestFit="1" customWidth="1"/>
    <col min="20" max="20" width="12.21875" bestFit="1" customWidth="1"/>
    <col min="21" max="22" width="12.4414062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</v>
      </c>
      <c r="H1" s="1" t="s">
        <v>64</v>
      </c>
      <c r="I1" s="1" t="s">
        <v>6</v>
      </c>
      <c r="J1" s="1" t="s">
        <v>65</v>
      </c>
      <c r="L1" s="1" t="s">
        <v>5</v>
      </c>
      <c r="M1" s="1" t="s">
        <v>4</v>
      </c>
      <c r="O1" s="1" t="s">
        <v>5</v>
      </c>
      <c r="P1" s="1" t="s">
        <v>4</v>
      </c>
      <c r="R1" s="1" t="s">
        <v>5</v>
      </c>
      <c r="T1" s="1" t="s">
        <v>5</v>
      </c>
    </row>
    <row r="2" spans="1:21" ht="15.6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36831</v>
      </c>
      <c r="H2" s="3">
        <v>45514</v>
      </c>
      <c r="I2" s="4">
        <v>6250</v>
      </c>
      <c r="J2" s="5">
        <f t="shared" ref="J2:J21" ca="1" si="0" xml:space="preserve"> YEAR(TODAY()) - YEAR(G2)</f>
        <v>26</v>
      </c>
      <c r="L2" s="2" t="s">
        <v>11</v>
      </c>
      <c r="M2" s="2"/>
      <c r="O2" t="s">
        <v>11</v>
      </c>
      <c r="P2" t="s">
        <v>10</v>
      </c>
      <c r="R2" t="s">
        <v>11</v>
      </c>
      <c r="T2" t="s">
        <v>11</v>
      </c>
    </row>
    <row r="3" spans="1:21" ht="15.6" x14ac:dyDescent="0.3">
      <c r="A3" s="2">
        <v>2</v>
      </c>
      <c r="B3" s="2" t="s">
        <v>12</v>
      </c>
      <c r="C3" s="2" t="s">
        <v>13</v>
      </c>
      <c r="E3" s="2" t="s">
        <v>15</v>
      </c>
      <c r="F3" s="2" t="s">
        <v>16</v>
      </c>
      <c r="G3" s="3">
        <v>36306</v>
      </c>
      <c r="H3" s="3">
        <v>45293</v>
      </c>
      <c r="I3" s="4">
        <v>8750</v>
      </c>
      <c r="J3" s="5">
        <f t="shared" ca="1" si="0"/>
        <v>27</v>
      </c>
      <c r="L3" s="2"/>
      <c r="M3" t="s">
        <v>10</v>
      </c>
      <c r="O3" t="s">
        <v>67</v>
      </c>
      <c r="R3" t="s">
        <v>25</v>
      </c>
    </row>
    <row r="4" spans="1:21" ht="15.6" x14ac:dyDescent="0.3">
      <c r="A4" s="2">
        <v>3</v>
      </c>
      <c r="B4" s="2" t="s">
        <v>17</v>
      </c>
      <c r="C4" s="2" t="s">
        <v>18</v>
      </c>
      <c r="D4" s="2" t="s">
        <v>14</v>
      </c>
      <c r="E4" s="2" t="s">
        <v>15</v>
      </c>
      <c r="F4" s="2" t="s">
        <v>20</v>
      </c>
      <c r="G4" s="3">
        <v>37038</v>
      </c>
      <c r="H4" s="3">
        <v>45403</v>
      </c>
      <c r="I4" s="4">
        <v>11250</v>
      </c>
      <c r="J4" s="5">
        <f t="shared" ca="1" si="0"/>
        <v>25</v>
      </c>
      <c r="L4" t="s">
        <v>68</v>
      </c>
    </row>
    <row r="5" spans="1:21" ht="15.6" x14ac:dyDescent="0.3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3">
        <v>34632</v>
      </c>
      <c r="H5" s="3">
        <v>45641</v>
      </c>
      <c r="I5" s="4">
        <v>10000</v>
      </c>
      <c r="J5" s="5">
        <f t="shared" ca="1" si="0"/>
        <v>32</v>
      </c>
    </row>
    <row r="6" spans="1:21" ht="15.6" x14ac:dyDescent="0.3">
      <c r="A6" s="2">
        <v>5</v>
      </c>
      <c r="B6" s="2" t="s">
        <v>26</v>
      </c>
      <c r="C6" s="2" t="s">
        <v>27</v>
      </c>
      <c r="D6" s="2" t="s">
        <v>14</v>
      </c>
      <c r="E6" s="2" t="s">
        <v>15</v>
      </c>
      <c r="F6" s="2" t="s">
        <v>11</v>
      </c>
      <c r="G6" s="3">
        <v>34491</v>
      </c>
      <c r="H6" s="3">
        <v>45350</v>
      </c>
      <c r="I6" s="4">
        <v>16250</v>
      </c>
      <c r="J6" s="5">
        <f t="shared" ca="1" si="0"/>
        <v>32</v>
      </c>
    </row>
    <row r="7" spans="1:21" ht="15.6" x14ac:dyDescent="0.3">
      <c r="A7" s="2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16</v>
      </c>
      <c r="G7" s="3">
        <v>35484</v>
      </c>
      <c r="H7" s="3">
        <v>45383</v>
      </c>
      <c r="I7" s="4">
        <v>6400</v>
      </c>
      <c r="J7" s="5">
        <f t="shared" ca="1" si="0"/>
        <v>29</v>
      </c>
    </row>
    <row r="8" spans="1:21" ht="15.6" x14ac:dyDescent="0.3">
      <c r="A8" s="2">
        <v>7</v>
      </c>
      <c r="B8" s="2" t="s">
        <v>32</v>
      </c>
      <c r="C8" s="2" t="s">
        <v>33</v>
      </c>
      <c r="D8" s="2" t="s">
        <v>34</v>
      </c>
      <c r="E8" s="2" t="s">
        <v>31</v>
      </c>
      <c r="F8" s="2" t="s">
        <v>66</v>
      </c>
      <c r="G8" s="3">
        <v>34562</v>
      </c>
      <c r="H8" s="3">
        <v>45456</v>
      </c>
      <c r="I8" s="4">
        <v>6500</v>
      </c>
      <c r="J8" s="5">
        <f t="shared" ca="1" si="0"/>
        <v>32</v>
      </c>
    </row>
    <row r="9" spans="1:21" ht="15.6" x14ac:dyDescent="0.3">
      <c r="A9" s="2">
        <v>8</v>
      </c>
      <c r="B9" s="2" t="s">
        <v>35</v>
      </c>
      <c r="C9" s="2" t="s">
        <v>36</v>
      </c>
      <c r="D9" s="2" t="s">
        <v>34</v>
      </c>
      <c r="E9" s="2" t="s">
        <v>24</v>
      </c>
      <c r="F9" s="2" t="s">
        <v>25</v>
      </c>
      <c r="G9" s="3">
        <v>34815</v>
      </c>
      <c r="H9" s="3">
        <v>45460</v>
      </c>
      <c r="I9" s="4">
        <v>6275</v>
      </c>
      <c r="J9" s="5">
        <f t="shared" ca="1" si="0"/>
        <v>31</v>
      </c>
      <c r="L9" s="1" t="s">
        <v>0</v>
      </c>
      <c r="M9" s="1" t="s">
        <v>1</v>
      </c>
      <c r="N9" s="1" t="s">
        <v>2</v>
      </c>
      <c r="O9" s="1" t="s">
        <v>3</v>
      </c>
      <c r="P9" s="1" t="s">
        <v>4</v>
      </c>
      <c r="Q9" s="1" t="s">
        <v>5</v>
      </c>
      <c r="R9" s="1" t="s">
        <v>63</v>
      </c>
      <c r="S9" s="1" t="s">
        <v>64</v>
      </c>
      <c r="T9" s="1" t="s">
        <v>6</v>
      </c>
      <c r="U9" s="1" t="s">
        <v>65</v>
      </c>
    </row>
    <row r="10" spans="1:21" ht="15.6" x14ac:dyDescent="0.3">
      <c r="A10" s="2">
        <v>9</v>
      </c>
      <c r="B10" s="2" t="s">
        <v>37</v>
      </c>
      <c r="C10" s="2" t="s">
        <v>38</v>
      </c>
      <c r="D10" s="2" t="s">
        <v>9</v>
      </c>
      <c r="E10" s="2" t="s">
        <v>10</v>
      </c>
      <c r="F10" s="2" t="s">
        <v>11</v>
      </c>
      <c r="G10" s="3">
        <v>35712</v>
      </c>
      <c r="H10" s="3">
        <v>45644</v>
      </c>
      <c r="I10" s="4">
        <v>6250</v>
      </c>
      <c r="J10" s="5">
        <f t="shared" ca="1" si="0"/>
        <v>29</v>
      </c>
      <c r="L10" s="2">
        <v>1</v>
      </c>
      <c r="M10" s="2" t="s">
        <v>7</v>
      </c>
      <c r="N10" s="2" t="s">
        <v>8</v>
      </c>
      <c r="O10" s="2" t="s">
        <v>9</v>
      </c>
      <c r="P10" s="2" t="s">
        <v>10</v>
      </c>
      <c r="Q10" s="2" t="s">
        <v>11</v>
      </c>
      <c r="R10" s="3">
        <v>36831</v>
      </c>
      <c r="S10" s="3">
        <v>45514</v>
      </c>
      <c r="T10" s="4">
        <v>6250</v>
      </c>
      <c r="U10" s="5">
        <v>25</v>
      </c>
    </row>
    <row r="11" spans="1:21" ht="15.6" x14ac:dyDescent="0.3">
      <c r="A11" s="2">
        <v>10</v>
      </c>
      <c r="B11" s="2" t="s">
        <v>39</v>
      </c>
      <c r="C11" s="2" t="s">
        <v>40</v>
      </c>
      <c r="D11" s="2" t="s">
        <v>41</v>
      </c>
      <c r="E11" s="2" t="s">
        <v>24</v>
      </c>
      <c r="F11" s="2" t="s">
        <v>16</v>
      </c>
      <c r="G11" s="3">
        <v>34620</v>
      </c>
      <c r="H11" s="3">
        <v>45366</v>
      </c>
      <c r="I11" s="4">
        <v>8750</v>
      </c>
      <c r="J11" s="5">
        <f t="shared" ca="1" si="0"/>
        <v>32</v>
      </c>
      <c r="L11" s="2">
        <v>5</v>
      </c>
      <c r="M11" s="2" t="s">
        <v>26</v>
      </c>
      <c r="N11" s="2" t="s">
        <v>27</v>
      </c>
      <c r="O11" s="2" t="s">
        <v>14</v>
      </c>
      <c r="P11" s="2" t="s">
        <v>15</v>
      </c>
      <c r="Q11" s="2" t="s">
        <v>11</v>
      </c>
      <c r="R11" s="3">
        <v>34491</v>
      </c>
      <c r="S11" s="3">
        <v>45350</v>
      </c>
      <c r="T11" s="4">
        <v>16250</v>
      </c>
      <c r="U11" s="5">
        <v>31</v>
      </c>
    </row>
    <row r="12" spans="1:21" ht="15.6" x14ac:dyDescent="0.3">
      <c r="A12" s="2">
        <v>11</v>
      </c>
      <c r="B12" s="2" t="s">
        <v>42</v>
      </c>
      <c r="C12" s="2" t="s">
        <v>43</v>
      </c>
      <c r="D12" s="2" t="s">
        <v>41</v>
      </c>
      <c r="E12" s="2" t="s">
        <v>24</v>
      </c>
      <c r="F12" s="2" t="s">
        <v>20</v>
      </c>
      <c r="G12" s="3">
        <v>36269</v>
      </c>
      <c r="H12" s="3">
        <v>45377</v>
      </c>
      <c r="I12" s="4">
        <v>11250</v>
      </c>
      <c r="J12" s="5">
        <f t="shared" ca="1" si="0"/>
        <v>27</v>
      </c>
      <c r="L12" s="2">
        <v>9</v>
      </c>
      <c r="M12" s="2" t="s">
        <v>37</v>
      </c>
      <c r="N12" s="2" t="s">
        <v>38</v>
      </c>
      <c r="O12" s="2" t="s">
        <v>9</v>
      </c>
      <c r="P12" s="2" t="s">
        <v>10</v>
      </c>
      <c r="Q12" s="2" t="s">
        <v>11</v>
      </c>
      <c r="R12" s="3">
        <v>35712</v>
      </c>
      <c r="S12" s="3">
        <v>45644</v>
      </c>
      <c r="T12" s="4">
        <v>6250</v>
      </c>
      <c r="U12" s="5">
        <v>28</v>
      </c>
    </row>
    <row r="13" spans="1:21" ht="15.6" x14ac:dyDescent="0.3">
      <c r="A13" s="2">
        <v>12</v>
      </c>
      <c r="B13" s="2" t="s">
        <v>44</v>
      </c>
      <c r="C13" s="2" t="s">
        <v>45</v>
      </c>
      <c r="D13" s="2" t="s">
        <v>46</v>
      </c>
      <c r="E13" s="2" t="s">
        <v>24</v>
      </c>
      <c r="F13" s="2" t="s">
        <v>25</v>
      </c>
      <c r="G13" s="3">
        <v>36443</v>
      </c>
      <c r="H13" s="3">
        <v>45513</v>
      </c>
      <c r="I13" s="4">
        <v>10000</v>
      </c>
      <c r="J13" s="5">
        <f t="shared" ca="1" si="0"/>
        <v>27</v>
      </c>
      <c r="L13" s="2">
        <v>13</v>
      </c>
      <c r="M13" s="2" t="s">
        <v>47</v>
      </c>
      <c r="N13" s="2" t="s">
        <v>13</v>
      </c>
      <c r="O13" s="2" t="s">
        <v>48</v>
      </c>
      <c r="P13" s="2" t="s">
        <v>24</v>
      </c>
      <c r="Q13" s="2" t="s">
        <v>11</v>
      </c>
      <c r="R13" s="3">
        <v>35771</v>
      </c>
      <c r="S13" s="3">
        <v>45416</v>
      </c>
      <c r="T13" s="4">
        <v>16250</v>
      </c>
      <c r="U13" s="5">
        <v>28</v>
      </c>
    </row>
    <row r="14" spans="1:21" ht="15.6" x14ac:dyDescent="0.3">
      <c r="A14" s="2">
        <v>13</v>
      </c>
      <c r="B14" s="2" t="s">
        <v>47</v>
      </c>
      <c r="C14" s="2" t="s">
        <v>13</v>
      </c>
      <c r="D14" s="2" t="s">
        <v>48</v>
      </c>
      <c r="E14" s="2" t="s">
        <v>24</v>
      </c>
      <c r="F14" s="2" t="s">
        <v>11</v>
      </c>
      <c r="G14" s="3">
        <v>35771</v>
      </c>
      <c r="H14" s="3">
        <v>45416</v>
      </c>
      <c r="I14" s="4">
        <v>16250</v>
      </c>
      <c r="J14" s="5">
        <f t="shared" ca="1" si="0"/>
        <v>29</v>
      </c>
      <c r="L14" s="2">
        <v>20</v>
      </c>
      <c r="M14" s="2" t="s">
        <v>61</v>
      </c>
      <c r="N14" s="2" t="s">
        <v>62</v>
      </c>
      <c r="O14" s="2" t="s">
        <v>19</v>
      </c>
      <c r="P14" s="2" t="s">
        <v>15</v>
      </c>
      <c r="Q14" s="2" t="s">
        <v>11</v>
      </c>
      <c r="R14" s="3">
        <v>34708</v>
      </c>
      <c r="S14" s="3">
        <v>45589</v>
      </c>
      <c r="T14" s="4">
        <v>10000</v>
      </c>
      <c r="U14" s="5">
        <v>30</v>
      </c>
    </row>
    <row r="15" spans="1:21" ht="15.6" x14ac:dyDescent="0.3">
      <c r="A15" s="2">
        <v>14</v>
      </c>
      <c r="B15" s="2" t="s">
        <v>49</v>
      </c>
      <c r="C15" s="2" t="s">
        <v>18</v>
      </c>
      <c r="D15" s="2" t="s">
        <v>46</v>
      </c>
      <c r="E15" s="2" t="s">
        <v>24</v>
      </c>
      <c r="F15" s="2" t="s">
        <v>16</v>
      </c>
      <c r="G15" s="3">
        <v>36426</v>
      </c>
      <c r="H15" s="3">
        <v>45470</v>
      </c>
      <c r="I15" s="4">
        <v>6400</v>
      </c>
      <c r="J15" s="5">
        <f t="shared" ca="1" si="0"/>
        <v>27</v>
      </c>
    </row>
    <row r="16" spans="1:21" ht="15.6" x14ac:dyDescent="0.3">
      <c r="A16" s="2">
        <v>15</v>
      </c>
      <c r="B16" s="2" t="s">
        <v>50</v>
      </c>
      <c r="C16" s="2" t="s">
        <v>51</v>
      </c>
      <c r="D16" s="2" t="s">
        <v>14</v>
      </c>
      <c r="E16" s="2" t="s">
        <v>15</v>
      </c>
      <c r="F16" s="2" t="s">
        <v>66</v>
      </c>
      <c r="G16" s="3">
        <v>37313</v>
      </c>
      <c r="H16" s="3">
        <v>45315</v>
      </c>
      <c r="I16" s="4">
        <v>4500</v>
      </c>
      <c r="J16" s="5">
        <f t="shared" ca="1" si="0"/>
        <v>24</v>
      </c>
      <c r="L16" s="1" t="s">
        <v>0</v>
      </c>
      <c r="M16" s="1" t="s">
        <v>1</v>
      </c>
      <c r="N16" s="1" t="s">
        <v>2</v>
      </c>
      <c r="O16" s="1" t="s">
        <v>3</v>
      </c>
      <c r="P16" s="1" t="s">
        <v>4</v>
      </c>
      <c r="Q16" s="1" t="s">
        <v>5</v>
      </c>
      <c r="R16" s="1" t="s">
        <v>63</v>
      </c>
      <c r="S16" s="1" t="s">
        <v>64</v>
      </c>
      <c r="T16" s="1" t="s">
        <v>6</v>
      </c>
      <c r="U16" s="1" t="s">
        <v>65</v>
      </c>
    </row>
    <row r="17" spans="1:21" ht="15.6" x14ac:dyDescent="0.3">
      <c r="A17" s="2">
        <v>16</v>
      </c>
      <c r="B17" s="2" t="s">
        <v>52</v>
      </c>
      <c r="C17" s="2" t="s">
        <v>36</v>
      </c>
      <c r="D17" s="2" t="s">
        <v>46</v>
      </c>
      <c r="E17" s="2" t="s">
        <v>24</v>
      </c>
      <c r="F17" s="2" t="s">
        <v>25</v>
      </c>
      <c r="G17" s="3">
        <v>34815</v>
      </c>
      <c r="H17" s="3">
        <v>45626</v>
      </c>
      <c r="I17" s="4">
        <v>6275</v>
      </c>
      <c r="J17" s="5">
        <f t="shared" ca="1" si="0"/>
        <v>31</v>
      </c>
      <c r="L17" s="2">
        <v>1</v>
      </c>
      <c r="M17" s="2" t="s">
        <v>7</v>
      </c>
      <c r="N17" s="2" t="s">
        <v>8</v>
      </c>
      <c r="O17" s="2" t="s">
        <v>9</v>
      </c>
      <c r="P17" s="2" t="s">
        <v>10</v>
      </c>
      <c r="Q17" s="2" t="s">
        <v>11</v>
      </c>
      <c r="R17" s="3">
        <v>36831</v>
      </c>
      <c r="S17" s="3">
        <v>45514</v>
      </c>
      <c r="T17" s="4">
        <v>6250</v>
      </c>
      <c r="U17" s="5">
        <v>25</v>
      </c>
    </row>
    <row r="18" spans="1:21" ht="15.6" x14ac:dyDescent="0.3">
      <c r="A18" s="2">
        <v>17</v>
      </c>
      <c r="B18" s="2" t="s">
        <v>53</v>
      </c>
      <c r="C18" s="2" t="s">
        <v>54</v>
      </c>
      <c r="D18" s="2" t="s">
        <v>9</v>
      </c>
      <c r="E18" s="2" t="s">
        <v>10</v>
      </c>
      <c r="F18" s="2" t="s">
        <v>55</v>
      </c>
      <c r="G18" s="3">
        <v>35365</v>
      </c>
      <c r="H18" s="3">
        <v>45605</v>
      </c>
      <c r="I18" s="4">
        <v>6250</v>
      </c>
      <c r="J18" s="5">
        <f t="shared" ca="1" si="0"/>
        <v>30</v>
      </c>
      <c r="L18" s="2">
        <v>4</v>
      </c>
      <c r="M18" s="2" t="s">
        <v>21</v>
      </c>
      <c r="N18" s="2" t="s">
        <v>22</v>
      </c>
      <c r="O18" s="2" t="s">
        <v>23</v>
      </c>
      <c r="P18" s="2" t="s">
        <v>24</v>
      </c>
      <c r="Q18" s="2" t="s">
        <v>25</v>
      </c>
      <c r="R18" s="3">
        <v>34632</v>
      </c>
      <c r="S18" s="3">
        <v>45641</v>
      </c>
      <c r="T18" s="4">
        <v>10000</v>
      </c>
      <c r="U18" s="5">
        <v>31</v>
      </c>
    </row>
    <row r="19" spans="1:21" ht="15.6" x14ac:dyDescent="0.3">
      <c r="A19" s="2">
        <v>18</v>
      </c>
      <c r="B19" s="2" t="s">
        <v>56</v>
      </c>
      <c r="C19" s="2" t="s">
        <v>57</v>
      </c>
      <c r="D19" s="2" t="s">
        <v>9</v>
      </c>
      <c r="E19" s="2" t="s">
        <v>10</v>
      </c>
      <c r="F19" s="2" t="s">
        <v>25</v>
      </c>
      <c r="G19" s="3">
        <v>36272</v>
      </c>
      <c r="H19" s="3">
        <v>45325</v>
      </c>
      <c r="I19" s="4">
        <v>8750</v>
      </c>
      <c r="J19" s="5">
        <f t="shared" ca="1" si="0"/>
        <v>27</v>
      </c>
      <c r="L19" s="2">
        <v>5</v>
      </c>
      <c r="M19" s="2" t="s">
        <v>26</v>
      </c>
      <c r="N19" s="2" t="s">
        <v>27</v>
      </c>
      <c r="O19" s="2" t="s">
        <v>14</v>
      </c>
      <c r="P19" s="2" t="s">
        <v>15</v>
      </c>
      <c r="Q19" s="2" t="s">
        <v>11</v>
      </c>
      <c r="R19" s="3">
        <v>34491</v>
      </c>
      <c r="S19" s="3">
        <v>45350</v>
      </c>
      <c r="T19" s="4">
        <v>16250</v>
      </c>
      <c r="U19" s="5">
        <v>31</v>
      </c>
    </row>
    <row r="20" spans="1:21" ht="15.6" x14ac:dyDescent="0.3">
      <c r="A20" s="2">
        <v>19</v>
      </c>
      <c r="B20" s="2" t="s">
        <v>58</v>
      </c>
      <c r="C20" s="2" t="s">
        <v>59</v>
      </c>
      <c r="D20" s="2" t="s">
        <v>60</v>
      </c>
      <c r="E20" s="2" t="s">
        <v>10</v>
      </c>
      <c r="F20" s="2" t="s">
        <v>55</v>
      </c>
      <c r="G20" s="3">
        <v>36200</v>
      </c>
      <c r="H20" s="3">
        <v>45353</v>
      </c>
      <c r="I20" s="4">
        <v>11250</v>
      </c>
      <c r="J20" s="5">
        <f t="shared" ca="1" si="0"/>
        <v>27</v>
      </c>
      <c r="L20" s="2">
        <v>8</v>
      </c>
      <c r="M20" s="2" t="s">
        <v>35</v>
      </c>
      <c r="N20" s="2" t="s">
        <v>36</v>
      </c>
      <c r="O20" s="2" t="s">
        <v>34</v>
      </c>
      <c r="P20" s="2" t="s">
        <v>24</v>
      </c>
      <c r="Q20" s="2" t="s">
        <v>25</v>
      </c>
      <c r="R20" s="3">
        <v>34815</v>
      </c>
      <c r="S20" s="3">
        <v>45460</v>
      </c>
      <c r="T20" s="4">
        <v>6275</v>
      </c>
      <c r="U20" s="5">
        <v>30</v>
      </c>
    </row>
    <row r="21" spans="1:21" ht="15.6" x14ac:dyDescent="0.3">
      <c r="A21" s="2">
        <v>20</v>
      </c>
      <c r="B21" s="2" t="s">
        <v>61</v>
      </c>
      <c r="C21" s="2" t="s">
        <v>62</v>
      </c>
      <c r="D21" s="2" t="s">
        <v>19</v>
      </c>
      <c r="E21" s="2" t="s">
        <v>15</v>
      </c>
      <c r="F21" s="2" t="s">
        <v>11</v>
      </c>
      <c r="G21" s="3">
        <v>34708</v>
      </c>
      <c r="H21" s="3">
        <v>45589</v>
      </c>
      <c r="I21" s="4">
        <v>10000</v>
      </c>
      <c r="J21" s="5">
        <f t="shared" ca="1" si="0"/>
        <v>31</v>
      </c>
      <c r="L21" s="2">
        <v>9</v>
      </c>
      <c r="M21" s="2" t="s">
        <v>37</v>
      </c>
      <c r="N21" s="2" t="s">
        <v>38</v>
      </c>
      <c r="O21" s="2" t="s">
        <v>9</v>
      </c>
      <c r="P21" s="2" t="s">
        <v>10</v>
      </c>
      <c r="Q21" s="2" t="s">
        <v>11</v>
      </c>
      <c r="R21" s="3">
        <v>35712</v>
      </c>
      <c r="S21" s="3">
        <v>45644</v>
      </c>
      <c r="T21" s="4">
        <v>6250</v>
      </c>
      <c r="U21" s="5">
        <v>28</v>
      </c>
    </row>
    <row r="22" spans="1:21" ht="15.6" x14ac:dyDescent="0.3">
      <c r="L22" s="2">
        <v>12</v>
      </c>
      <c r="M22" s="2" t="s">
        <v>44</v>
      </c>
      <c r="N22" s="2" t="s">
        <v>45</v>
      </c>
      <c r="O22" s="2" t="s">
        <v>46</v>
      </c>
      <c r="P22" s="2" t="s">
        <v>24</v>
      </c>
      <c r="Q22" s="2" t="s">
        <v>25</v>
      </c>
      <c r="R22" s="3">
        <v>36443</v>
      </c>
      <c r="S22" s="3">
        <v>45513</v>
      </c>
      <c r="T22" s="4">
        <v>10000</v>
      </c>
      <c r="U22" s="5">
        <v>26</v>
      </c>
    </row>
    <row r="23" spans="1:21" ht="15.6" x14ac:dyDescent="0.3">
      <c r="L23" s="2">
        <v>13</v>
      </c>
      <c r="M23" s="2" t="s">
        <v>47</v>
      </c>
      <c r="N23" s="2" t="s">
        <v>13</v>
      </c>
      <c r="O23" s="2" t="s">
        <v>48</v>
      </c>
      <c r="P23" s="2" t="s">
        <v>24</v>
      </c>
      <c r="Q23" s="2" t="s">
        <v>11</v>
      </c>
      <c r="R23" s="3">
        <v>35771</v>
      </c>
      <c r="S23" s="3">
        <v>45416</v>
      </c>
      <c r="T23" s="4">
        <v>16250</v>
      </c>
      <c r="U23" s="5">
        <v>28</v>
      </c>
    </row>
    <row r="24" spans="1:21" ht="15.6" x14ac:dyDescent="0.3">
      <c r="L24" s="2">
        <v>16</v>
      </c>
      <c r="M24" s="2" t="s">
        <v>52</v>
      </c>
      <c r="N24" s="2" t="s">
        <v>36</v>
      </c>
      <c r="O24" s="2" t="s">
        <v>46</v>
      </c>
      <c r="P24" s="2" t="s">
        <v>24</v>
      </c>
      <c r="Q24" s="2" t="s">
        <v>25</v>
      </c>
      <c r="R24" s="3">
        <v>34815</v>
      </c>
      <c r="S24" s="3">
        <v>45626</v>
      </c>
      <c r="T24" s="4">
        <v>6275</v>
      </c>
      <c r="U24" s="5">
        <v>30</v>
      </c>
    </row>
    <row r="25" spans="1:21" ht="15.6" x14ac:dyDescent="0.3">
      <c r="L25" s="2">
        <v>18</v>
      </c>
      <c r="M25" s="2" t="s">
        <v>56</v>
      </c>
      <c r="N25" s="2" t="s">
        <v>57</v>
      </c>
      <c r="O25" s="2" t="s">
        <v>9</v>
      </c>
      <c r="P25" s="2" t="s">
        <v>10</v>
      </c>
      <c r="Q25" s="2" t="s">
        <v>25</v>
      </c>
      <c r="R25" s="3">
        <v>36272</v>
      </c>
      <c r="S25" s="3">
        <v>45325</v>
      </c>
      <c r="T25" s="4">
        <v>8750</v>
      </c>
      <c r="U25" s="5">
        <v>26</v>
      </c>
    </row>
    <row r="26" spans="1:21" ht="15.6" x14ac:dyDescent="0.3">
      <c r="L26" s="2">
        <v>20</v>
      </c>
      <c r="M26" s="2" t="s">
        <v>61</v>
      </c>
      <c r="N26" s="2" t="s">
        <v>62</v>
      </c>
      <c r="O26" s="2" t="s">
        <v>19</v>
      </c>
      <c r="P26" s="2" t="s">
        <v>15</v>
      </c>
      <c r="Q26" s="2" t="s">
        <v>11</v>
      </c>
      <c r="R26" s="3">
        <v>34708</v>
      </c>
      <c r="S26" s="3">
        <v>45589</v>
      </c>
      <c r="T26" s="4">
        <v>10000</v>
      </c>
      <c r="U26" s="5">
        <v>30</v>
      </c>
    </row>
    <row r="28" spans="1:21" ht="15.6" x14ac:dyDescent="0.3">
      <c r="L28" s="1" t="s">
        <v>0</v>
      </c>
      <c r="M28" s="1" t="s">
        <v>1</v>
      </c>
      <c r="N28" s="1" t="s">
        <v>2</v>
      </c>
      <c r="O28" s="1" t="s">
        <v>3</v>
      </c>
      <c r="P28" s="1" t="s">
        <v>4</v>
      </c>
      <c r="Q28" s="1" t="s">
        <v>5</v>
      </c>
      <c r="R28" s="1" t="s">
        <v>63</v>
      </c>
      <c r="S28" s="1" t="s">
        <v>64</v>
      </c>
      <c r="T28" s="1" t="s">
        <v>6</v>
      </c>
      <c r="U28" s="1" t="s">
        <v>65</v>
      </c>
    </row>
    <row r="29" spans="1:21" ht="15.6" x14ac:dyDescent="0.3">
      <c r="L29" s="2">
        <v>1</v>
      </c>
      <c r="M29" s="2" t="s">
        <v>7</v>
      </c>
      <c r="N29" s="2" t="s">
        <v>8</v>
      </c>
      <c r="O29" s="2" t="s">
        <v>9</v>
      </c>
      <c r="P29" s="2" t="s">
        <v>10</v>
      </c>
      <c r="Q29" s="2" t="s">
        <v>11</v>
      </c>
      <c r="R29" s="3">
        <v>36831</v>
      </c>
      <c r="S29" s="3">
        <v>45514</v>
      </c>
      <c r="T29" s="4">
        <v>6250</v>
      </c>
      <c r="U29" s="5">
        <v>25</v>
      </c>
    </row>
    <row r="30" spans="1:21" ht="15.6" x14ac:dyDescent="0.3">
      <c r="L30" s="2">
        <v>5</v>
      </c>
      <c r="M30" s="2" t="s">
        <v>26</v>
      </c>
      <c r="N30" s="2" t="s">
        <v>27</v>
      </c>
      <c r="O30" s="2" t="s">
        <v>14</v>
      </c>
      <c r="P30" s="2" t="s">
        <v>15</v>
      </c>
      <c r="Q30" s="2" t="s">
        <v>11</v>
      </c>
      <c r="R30" s="3">
        <v>34491</v>
      </c>
      <c r="S30" s="3">
        <v>45350</v>
      </c>
      <c r="T30" s="4">
        <v>16250</v>
      </c>
      <c r="U30" s="5">
        <v>31</v>
      </c>
    </row>
    <row r="31" spans="1:21" ht="15.6" x14ac:dyDescent="0.3">
      <c r="L31" s="2">
        <v>9</v>
      </c>
      <c r="M31" s="2" t="s">
        <v>37</v>
      </c>
      <c r="N31" s="2" t="s">
        <v>38</v>
      </c>
      <c r="O31" s="2" t="s">
        <v>9</v>
      </c>
      <c r="P31" s="2" t="s">
        <v>10</v>
      </c>
      <c r="Q31" s="2" t="s">
        <v>11</v>
      </c>
      <c r="R31" s="3">
        <v>35712</v>
      </c>
      <c r="S31" s="3">
        <v>45644</v>
      </c>
      <c r="T31" s="4">
        <v>6250</v>
      </c>
      <c r="U31" s="5">
        <v>28</v>
      </c>
    </row>
    <row r="32" spans="1:21" ht="15.6" x14ac:dyDescent="0.3">
      <c r="L32" s="2">
        <v>13</v>
      </c>
      <c r="M32" s="2" t="s">
        <v>47</v>
      </c>
      <c r="N32" s="2" t="s">
        <v>13</v>
      </c>
      <c r="O32" s="2" t="s">
        <v>48</v>
      </c>
      <c r="P32" s="2" t="s">
        <v>24</v>
      </c>
      <c r="Q32" s="2" t="s">
        <v>11</v>
      </c>
      <c r="R32" s="3">
        <v>35771</v>
      </c>
      <c r="S32" s="3">
        <v>45416</v>
      </c>
      <c r="T32" s="4">
        <v>16250</v>
      </c>
      <c r="U32" s="5">
        <v>28</v>
      </c>
    </row>
    <row r="33" spans="12:21" ht="15.6" x14ac:dyDescent="0.3">
      <c r="L33" s="2">
        <v>17</v>
      </c>
      <c r="M33" s="2" t="s">
        <v>53</v>
      </c>
      <c r="N33" s="2" t="s">
        <v>54</v>
      </c>
      <c r="O33" s="2" t="s">
        <v>9</v>
      </c>
      <c r="P33" s="2" t="s">
        <v>10</v>
      </c>
      <c r="Q33" s="2" t="s">
        <v>55</v>
      </c>
      <c r="R33" s="3">
        <v>35365</v>
      </c>
      <c r="S33" s="3">
        <v>45605</v>
      </c>
      <c r="T33" s="4">
        <v>6250</v>
      </c>
      <c r="U33" s="5">
        <v>29</v>
      </c>
    </row>
    <row r="34" spans="12:21" ht="15.6" x14ac:dyDescent="0.3">
      <c r="L34" s="2">
        <v>18</v>
      </c>
      <c r="M34" s="2" t="s">
        <v>56</v>
      </c>
      <c r="N34" s="2" t="s">
        <v>57</v>
      </c>
      <c r="O34" s="2" t="s">
        <v>9</v>
      </c>
      <c r="P34" s="2" t="s">
        <v>10</v>
      </c>
      <c r="Q34" s="2" t="s">
        <v>25</v>
      </c>
      <c r="R34" s="3">
        <v>36272</v>
      </c>
      <c r="S34" s="3">
        <v>45325</v>
      </c>
      <c r="T34" s="4">
        <v>8750</v>
      </c>
      <c r="U34" s="5">
        <v>26</v>
      </c>
    </row>
    <row r="35" spans="12:21" ht="15.6" x14ac:dyDescent="0.3">
      <c r="L35" s="2">
        <v>19</v>
      </c>
      <c r="M35" s="2" t="s">
        <v>58</v>
      </c>
      <c r="N35" s="2" t="s">
        <v>59</v>
      </c>
      <c r="O35" s="2" t="s">
        <v>60</v>
      </c>
      <c r="P35" s="2" t="s">
        <v>10</v>
      </c>
      <c r="Q35" s="2" t="s">
        <v>55</v>
      </c>
      <c r="R35" s="3">
        <v>36200</v>
      </c>
      <c r="S35" s="3">
        <v>45353</v>
      </c>
      <c r="T35" s="4">
        <v>11250</v>
      </c>
      <c r="U35" s="5">
        <v>26</v>
      </c>
    </row>
    <row r="36" spans="12:21" ht="15.6" x14ac:dyDescent="0.3">
      <c r="L36" s="2">
        <v>20</v>
      </c>
      <c r="M36" s="2" t="s">
        <v>61</v>
      </c>
      <c r="N36" s="2" t="s">
        <v>62</v>
      </c>
      <c r="O36" s="2" t="s">
        <v>19</v>
      </c>
      <c r="P36" s="2" t="s">
        <v>15</v>
      </c>
      <c r="Q36" s="2" t="s">
        <v>11</v>
      </c>
      <c r="R36" s="3">
        <v>34708</v>
      </c>
      <c r="S36" s="3">
        <v>45589</v>
      </c>
      <c r="T36" s="4">
        <v>10000</v>
      </c>
      <c r="U36" s="5">
        <v>30</v>
      </c>
    </row>
    <row r="39" spans="12:21" ht="15.6" x14ac:dyDescent="0.3">
      <c r="L39" s="1" t="s">
        <v>0</v>
      </c>
      <c r="M39" s="1" t="s">
        <v>1</v>
      </c>
      <c r="N39" s="1" t="s">
        <v>2</v>
      </c>
      <c r="O39" s="1" t="s">
        <v>3</v>
      </c>
      <c r="P39" s="1" t="s">
        <v>4</v>
      </c>
      <c r="Q39" s="1" t="s">
        <v>5</v>
      </c>
      <c r="R39" s="1" t="s">
        <v>63</v>
      </c>
      <c r="S39" s="1" t="s">
        <v>64</v>
      </c>
      <c r="T39" s="1" t="s">
        <v>6</v>
      </c>
      <c r="U39" s="1" t="s">
        <v>65</v>
      </c>
    </row>
    <row r="40" spans="12:21" ht="15.6" x14ac:dyDescent="0.3">
      <c r="L40" s="2">
        <v>1</v>
      </c>
      <c r="M40" s="2" t="s">
        <v>7</v>
      </c>
      <c r="N40" s="2" t="s">
        <v>8</v>
      </c>
      <c r="O40" s="2" t="s">
        <v>9</v>
      </c>
      <c r="P40" s="2" t="s">
        <v>10</v>
      </c>
      <c r="Q40" s="2" t="s">
        <v>11</v>
      </c>
      <c r="R40" s="3">
        <v>36831</v>
      </c>
      <c r="S40" s="3">
        <v>45514</v>
      </c>
      <c r="T40" s="4">
        <v>6250</v>
      </c>
      <c r="U40" s="5">
        <v>25</v>
      </c>
    </row>
    <row r="41" spans="12:21" ht="15.6" x14ac:dyDescent="0.3">
      <c r="L41" s="2">
        <v>9</v>
      </c>
      <c r="M41" s="2" t="s">
        <v>37</v>
      </c>
      <c r="N41" s="2" t="s">
        <v>38</v>
      </c>
      <c r="O41" s="2" t="s">
        <v>9</v>
      </c>
      <c r="P41" s="2" t="s">
        <v>10</v>
      </c>
      <c r="Q41" s="2" t="s">
        <v>11</v>
      </c>
      <c r="R41" s="3">
        <v>35712</v>
      </c>
      <c r="S41" s="3">
        <v>45644</v>
      </c>
      <c r="T41" s="4">
        <v>6250</v>
      </c>
      <c r="U41" s="5">
        <v>28</v>
      </c>
    </row>
  </sheetData>
  <dataValidations count="2">
    <dataValidation type="custom" allowBlank="1" showInputMessage="1" showErrorMessage="1" sqref="I2:I21" xr:uid="{757F72B0-620D-4080-97F9-9B76B7CA1565}">
      <formula1 xml:space="preserve"> SUM($I$2:$I$21) &lt;= $I$23</formula1>
    </dataValidation>
    <dataValidation type="custom" allowBlank="1" showInputMessage="1" showErrorMessage="1" sqref="A2:A21" xr:uid="{1E5CB89E-811D-42C2-AD85-E68083163412}">
      <formula1 xml:space="preserve"> COUNTIF($A$2:$A$21,A2) = 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Conditional Formatting (3)</vt:lpstr>
      <vt:lpstr>Conditional Formatting (4)</vt:lpstr>
      <vt:lpstr>Sorting</vt:lpstr>
      <vt:lpstr>Filtering</vt:lpstr>
      <vt:lpstr>Filtering!Criteria</vt:lpstr>
      <vt:lpstr>'Conditional Formatting (3)'!dept</vt:lpstr>
      <vt:lpstr>'Conditional Formatting (4)'!dept</vt:lpstr>
      <vt:lpstr>Sorting!dept</vt:lpstr>
      <vt:lpstr>'Conditional Formatting (3)'!Extract</vt:lpstr>
      <vt:lpstr>'Conditional Formatting (4)'!Extract</vt:lpstr>
      <vt:lpstr>Filtering!Extract</vt:lpstr>
      <vt:lpstr>Sorting!Extract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</dc:creator>
  <cp:lastModifiedBy>Om Gore</cp:lastModifiedBy>
  <dcterms:created xsi:type="dcterms:W3CDTF">2022-04-20T13:34:41Z</dcterms:created>
  <dcterms:modified xsi:type="dcterms:W3CDTF">2026-10-19T14:31:37Z</dcterms:modified>
</cp:coreProperties>
</file>