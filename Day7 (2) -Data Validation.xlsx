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662FC4DC-1A8F-4E3E-B090-E25B9002FF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Validation" sheetId="1" r:id="rId1"/>
    <sheet name="Sheet2" sheetId="2" r:id="rId2"/>
    <sheet name="Sheet1" sheetId="4" r:id="rId3"/>
  </sheets>
  <calcPr calcId="191029"/>
  <extLst>
    <ext uri="GoogleSheetsCustomDataVersion2">
      <go:sheetsCustomData xmlns:go="http://customooxmlschemas.google.com/" r:id="rId5" roundtripDataChecksum="8CQYCjBoX8TAnEnQGRAE61kkP4K0bOBQmGCrsqEeBts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  <c r="P2" i="1"/>
</calcChain>
</file>

<file path=xl/sharedStrings.xml><?xml version="1.0" encoding="utf-8"?>
<sst xmlns="http://schemas.openxmlformats.org/spreadsheetml/2006/main" count="128" uniqueCount="71">
  <si>
    <t>Emp Code</t>
  </si>
  <si>
    <t>Employee Name</t>
  </si>
  <si>
    <t>Address</t>
  </si>
  <si>
    <t>City</t>
  </si>
  <si>
    <t>Region</t>
  </si>
  <si>
    <t>Department</t>
  </si>
  <si>
    <t>DOB</t>
  </si>
  <si>
    <t>DOJ</t>
  </si>
  <si>
    <t>Basic</t>
  </si>
  <si>
    <t>Age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</si>
  <si>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</si>
  <si>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</si>
  <si>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</si>
  <si>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</si>
  <si>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</si>
  <si>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</si>
  <si>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</si>
  <si>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</si>
  <si>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</si>
  <si>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</si>
  <si>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</si>
  <si>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</si>
  <si>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</si>
  <si>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</si>
  <si>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</si>
  <si>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</si>
  <si>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</si>
  <si>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</si>
  <si>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</si>
  <si>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</si>
  <si>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</si>
  <si>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</si>
  <si>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</si>
  <si>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</si>
  <si>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</si>
  <si>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</si>
  <si>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</si>
  <si>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</si>
  <si>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</si>
  <si>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</si>
  <si>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</si>
  <si>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</si>
  <si>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</si>
  <si>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</si>
  <si>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</si>
  <si>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</si>
  <si>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</si>
  <si>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</si>
  <si>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</si>
  <si>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</si>
  <si>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</si>
  <si>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</si>
  <si>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</si>
  <si>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</si>
  <si>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</si>
  <si>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</si>
  <si>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</si>
  <si>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</si>
  <si>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</si>
  <si>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</si>
  <si>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</si>
  <si>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</si>
  <si>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</si>
  <si>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</si>
  <si>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</si>
  <si>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</si>
  <si>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Login Time</t>
  </si>
  <si>
    <t>Mobile No.</t>
  </si>
  <si>
    <t>Formula : =AND(ISNUMBER(L3),LEN(L3))</t>
  </si>
  <si>
    <t>10:00am</t>
  </si>
  <si>
    <t>asdfghj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</si>
</sst>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4">
    <font>
      <sz val="11"/>
      <color theme="1"/>
      <name val="Calibri"/>
      <scheme val="minor"/>
    </font>
    <font>
      <b/>
      <sz val="12"/>
      <color theme="1"/>
      <name val="Play"/>
    </font>
    <font>
      <sz val="12"/>
      <color theme="1"/>
      <name val="Play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0" fontId="3" fillId="0" borderId="2" xfId="0" applyFont="1" applyBorder="1"/>
    <xf numFmtId="20" fontId="0" fillId="0" borderId="0" xfId="0" applyNumberFormat="1"/>
    <xf numFmtId="18" fontId="0" fillId="0" borderId="0" xfId="0" applyNumberFormat="1"/>
    <xf numFmtId="44" fontId="0" fillId="0" borderId="0" xfId="0" applyNumberFormat="1"/>
    <xf numFmtId="0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I2" sqref="I2:I21"/>
    </sheetView>
  </sheetViews>
  <sheetFormatPr defaultColWidth="14.44140625" defaultRowHeight="15" customHeight="1"/>
  <cols>
    <col min="1" max="1" width="11.77734375" bestFit="1" customWidth="1"/>
    <col min="2" max="2" width="11.77734375" customWidth="1"/>
    <col min="3" max="3" width="18" bestFit="1" customWidth="1"/>
    <col min="4" max="4" width="12.6640625" bestFit="1" customWidth="1"/>
    <col min="5" max="5" width="11.33203125" bestFit="1" customWidth="1"/>
    <col min="6" max="6" width="8.33203125" bestFit="1" customWidth="1"/>
    <col min="7" max="7" width="13.33203125" bestFit="1" customWidth="1"/>
    <col min="8" max="8" width="12.33203125" customWidth="1"/>
    <col min="9" max="9" width="16.5546875" customWidth="1"/>
    <col min="10" max="10" width="13.6640625" customWidth="1"/>
    <col min="11" max="11" width="10.77734375" customWidth="1"/>
    <col min="12" max="12" width="15" customWidth="1"/>
    <col min="13" max="13" width="10.21875" customWidth="1"/>
    <col min="14" max="14" width="13.109375" customWidth="1"/>
    <col min="15" max="15" width="12.109375" bestFit="1" customWidth="1"/>
    <col min="16" max="29" width="8.6640625" customWidth="1"/>
  </cols>
  <sheetData>
    <row r="1" spans="1:16" ht="14.2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 t="s">
        <v>8</v>
      </c>
      <c r="M1" s="1" t="s">
        <v>9</v>
      </c>
      <c r="N1" s="1" t="s">
        <v>66</v>
      </c>
      <c r="O1" s="1" t="s">
        <v>67</v>
      </c>
    </row>
    <row r="2" spans="1:16" ht="14.25" customHeight="1">
      <c r="A2" s="2">
        <v>1</v>
      </c>
      <c r="B2" s="2" t="b">
        <f>COUNTIF($A$2:$A$21,A2)=1</f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36831</v>
      </c>
      <c r="I2" s="3">
        <v>45514</v>
      </c>
      <c r="J2" s="9" t="b">
        <f>WEEKDAY(I2,2)&lt;6</f>
        <v>0</v>
      </c>
      <c r="K2" s="3"/>
      <c r="L2" s="4">
        <v>6250</v>
      </c>
      <c r="M2" s="5">
        <v>28</v>
      </c>
      <c r="N2" s="6">
        <v>0.39583333333333331</v>
      </c>
      <c r="O2">
        <v>8888888899</v>
      </c>
      <c r="P2" t="b">
        <f>AND(ISNUMBER(O2),LEN(O2)=10)</f>
        <v>1</v>
      </c>
    </row>
    <row r="3" spans="1:16" ht="14.25" customHeight="1">
      <c r="A3" s="2">
        <v>2</v>
      </c>
      <c r="B3" s="2" t="b">
        <f t="shared" ref="B3:B21" si="0">COUNTIF($A$2:$A$21,A3)=1</f>
        <v>1</v>
      </c>
      <c r="C3" s="2" t="s">
        <v>15</v>
      </c>
      <c r="D3" s="2" t="s">
        <v>16</v>
      </c>
      <c r="E3" s="2" t="s">
        <v>17</v>
      </c>
      <c r="F3" s="2" t="s">
        <v>34</v>
      </c>
      <c r="G3" s="2" t="s">
        <v>19</v>
      </c>
      <c r="H3" s="3">
        <v>36306</v>
      </c>
      <c r="I3" s="3">
        <v>45293</v>
      </c>
      <c r="J3" s="9" t="b">
        <f t="shared" ref="J3:J21" si="1">WEEKDAY(I3,2)&lt;6</f>
        <v>1</v>
      </c>
      <c r="K3" s="3"/>
      <c r="L3" s="4">
        <v>8750</v>
      </c>
      <c r="M3" s="5">
        <v>30</v>
      </c>
      <c r="N3" s="7">
        <v>0.39791666666666664</v>
      </c>
      <c r="O3">
        <v>1234567892</v>
      </c>
    </row>
    <row r="4" spans="1:16" ht="14.25" customHeight="1">
      <c r="A4" s="2">
        <v>3</v>
      </c>
      <c r="B4" s="2" t="b">
        <f t="shared" si="0"/>
        <v>1</v>
      </c>
      <c r="C4" s="2" t="s">
        <v>20</v>
      </c>
      <c r="D4" s="2" t="s">
        <v>21</v>
      </c>
      <c r="E4" s="2" t="s">
        <v>22</v>
      </c>
      <c r="F4" s="2" t="s">
        <v>13</v>
      </c>
      <c r="G4" s="2" t="s">
        <v>23</v>
      </c>
      <c r="H4" s="3">
        <v>37038</v>
      </c>
      <c r="I4" s="3">
        <v>45403</v>
      </c>
      <c r="J4" s="9" t="b">
        <f t="shared" si="1"/>
        <v>0</v>
      </c>
      <c r="K4" s="3"/>
      <c r="L4" s="4">
        <v>11250</v>
      </c>
      <c r="M4" s="5">
        <v>40</v>
      </c>
      <c r="N4" s="6">
        <v>0.40625</v>
      </c>
      <c r="O4" t="s">
        <v>70</v>
      </c>
    </row>
    <row r="5" spans="1:16" ht="14.25" customHeight="1">
      <c r="A5" s="2">
        <v>4</v>
      </c>
      <c r="B5" s="2" t="b">
        <f t="shared" si="0"/>
        <v>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3">
        <v>34632</v>
      </c>
      <c r="I5" s="3">
        <v>45641</v>
      </c>
      <c r="J5" s="9" t="b">
        <f t="shared" si="1"/>
        <v>0</v>
      </c>
      <c r="K5" s="3"/>
      <c r="L5" s="4">
        <v>10000</v>
      </c>
      <c r="M5" s="5">
        <v>23</v>
      </c>
      <c r="N5" t="s">
        <v>69</v>
      </c>
      <c r="O5">
        <v>123456</v>
      </c>
    </row>
    <row r="6" spans="1:16" ht="14.25" customHeight="1">
      <c r="A6" s="2">
        <v>5</v>
      </c>
      <c r="B6" s="2" t="b">
        <f t="shared" si="0"/>
        <v>1</v>
      </c>
      <c r="C6" s="2" t="s">
        <v>29</v>
      </c>
      <c r="D6" s="2" t="s">
        <v>30</v>
      </c>
      <c r="E6" s="2" t="s">
        <v>17</v>
      </c>
      <c r="F6" s="2" t="s">
        <v>18</v>
      </c>
      <c r="G6" s="2" t="s">
        <v>14</v>
      </c>
      <c r="H6" s="3">
        <v>34491</v>
      </c>
      <c r="I6" s="3">
        <v>45350</v>
      </c>
      <c r="J6" s="9" t="b">
        <f t="shared" si="1"/>
        <v>1</v>
      </c>
      <c r="K6" s="3"/>
      <c r="L6" s="4">
        <v>16250</v>
      </c>
      <c r="M6" s="5">
        <v>35</v>
      </c>
      <c r="N6" s="6"/>
    </row>
    <row r="7" spans="1:16" ht="14.25" customHeight="1">
      <c r="A7" s="2">
        <v>6</v>
      </c>
      <c r="B7" s="2" t="b">
        <f t="shared" si="0"/>
        <v>1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19</v>
      </c>
      <c r="H7" s="3">
        <v>35484</v>
      </c>
      <c r="I7" s="3">
        <v>45383</v>
      </c>
      <c r="J7" s="9" t="b">
        <f t="shared" si="1"/>
        <v>1</v>
      </c>
      <c r="K7" s="3"/>
      <c r="L7" s="4">
        <v>6400</v>
      </c>
      <c r="M7" s="5">
        <v>46</v>
      </c>
    </row>
    <row r="8" spans="1:16" ht="14.25" customHeight="1">
      <c r="A8" s="2">
        <v>7</v>
      </c>
      <c r="B8" s="2" t="b">
        <f t="shared" si="0"/>
        <v>1</v>
      </c>
      <c r="C8" s="2" t="s">
        <v>35</v>
      </c>
      <c r="D8" s="2" t="s">
        <v>36</v>
      </c>
      <c r="E8" s="2" t="s">
        <v>37</v>
      </c>
      <c r="F8" s="2" t="s">
        <v>34</v>
      </c>
      <c r="G8" s="2" t="s">
        <v>23</v>
      </c>
      <c r="H8" s="3">
        <v>34562</v>
      </c>
      <c r="I8" s="3">
        <v>45456</v>
      </c>
      <c r="J8" s="9" t="b">
        <f t="shared" si="1"/>
        <v>1</v>
      </c>
      <c r="K8" s="3"/>
      <c r="L8" s="4">
        <v>4500</v>
      </c>
      <c r="M8" s="5">
        <v>29</v>
      </c>
    </row>
    <row r="9" spans="1:16" ht="14.25" customHeight="1">
      <c r="A9" s="2">
        <v>8</v>
      </c>
      <c r="B9" s="2" t="b">
        <f t="shared" si="0"/>
        <v>1</v>
      </c>
      <c r="C9" s="2" t="s">
        <v>38</v>
      </c>
      <c r="D9" s="2" t="s">
        <v>39</v>
      </c>
      <c r="E9" s="2" t="s">
        <v>37</v>
      </c>
      <c r="F9" s="2" t="s">
        <v>18</v>
      </c>
      <c r="G9" s="2" t="s">
        <v>28</v>
      </c>
      <c r="H9" s="3">
        <v>34815</v>
      </c>
      <c r="I9" s="3">
        <v>45460</v>
      </c>
      <c r="J9" s="9" t="b">
        <f t="shared" si="1"/>
        <v>1</v>
      </c>
      <c r="K9" s="3"/>
      <c r="L9" s="4">
        <v>6275</v>
      </c>
      <c r="M9" s="5">
        <v>19</v>
      </c>
    </row>
    <row r="10" spans="1:16" ht="14.25" customHeight="1">
      <c r="A10" s="2">
        <v>9</v>
      </c>
      <c r="B10" s="2" t="b">
        <f t="shared" si="0"/>
        <v>0</v>
      </c>
      <c r="C10" s="2" t="s">
        <v>40</v>
      </c>
      <c r="D10" s="2" t="s">
        <v>41</v>
      </c>
      <c r="E10" s="2" t="s">
        <v>12</v>
      </c>
      <c r="F10" s="2" t="s">
        <v>13</v>
      </c>
      <c r="G10" s="2" t="s">
        <v>14</v>
      </c>
      <c r="H10" s="3">
        <v>35712</v>
      </c>
      <c r="I10" s="3">
        <v>45644</v>
      </c>
      <c r="J10" s="9" t="b">
        <f t="shared" si="1"/>
        <v>1</v>
      </c>
      <c r="K10" s="3"/>
      <c r="L10" s="4">
        <v>6250</v>
      </c>
      <c r="M10" s="5">
        <v>90</v>
      </c>
    </row>
    <row r="11" spans="1:16" ht="14.25" customHeight="1">
      <c r="A11" s="2">
        <v>10</v>
      </c>
      <c r="B11" s="2" t="b">
        <f t="shared" si="0"/>
        <v>1</v>
      </c>
      <c r="C11" s="2" t="s">
        <v>42</v>
      </c>
      <c r="D11" s="2" t="s">
        <v>43</v>
      </c>
      <c r="E11" s="2" t="s">
        <v>44</v>
      </c>
      <c r="F11" s="2" t="s">
        <v>27</v>
      </c>
      <c r="G11" s="2" t="s">
        <v>19</v>
      </c>
      <c r="H11" s="3">
        <v>34620</v>
      </c>
      <c r="I11" s="3">
        <v>45366</v>
      </c>
      <c r="J11" s="9" t="b">
        <f t="shared" si="1"/>
        <v>1</v>
      </c>
      <c r="K11" s="3"/>
      <c r="L11" s="4">
        <v>8750</v>
      </c>
      <c r="M11" s="5">
        <v>28</v>
      </c>
    </row>
    <row r="12" spans="1:16" ht="14.25" customHeight="1">
      <c r="A12" s="2">
        <v>11</v>
      </c>
      <c r="B12" s="2" t="b">
        <f t="shared" si="0"/>
        <v>1</v>
      </c>
      <c r="C12" s="2" t="s">
        <v>45</v>
      </c>
      <c r="D12" s="2" t="s">
        <v>46</v>
      </c>
      <c r="E12" s="2" t="s">
        <v>44</v>
      </c>
      <c r="F12" s="2" t="s">
        <v>27</v>
      </c>
      <c r="G12" s="2" t="s">
        <v>23</v>
      </c>
      <c r="H12" s="3">
        <v>36269</v>
      </c>
      <c r="I12" s="3">
        <v>45377</v>
      </c>
      <c r="J12" s="9" t="b">
        <f t="shared" si="1"/>
        <v>1</v>
      </c>
      <c r="K12" s="3"/>
      <c r="L12" s="4">
        <v>11250</v>
      </c>
      <c r="M12" s="5">
        <v>30</v>
      </c>
    </row>
    <row r="13" spans="1:16" ht="14.25" customHeight="1">
      <c r="A13" s="2">
        <v>12</v>
      </c>
      <c r="B13" s="2" t="b">
        <f t="shared" si="0"/>
        <v>1</v>
      </c>
      <c r="C13" s="2" t="s">
        <v>47</v>
      </c>
      <c r="D13" s="2" t="s">
        <v>48</v>
      </c>
      <c r="E13" s="2" t="s">
        <v>49</v>
      </c>
      <c r="F13" s="2" t="s">
        <v>27</v>
      </c>
      <c r="G13" s="2" t="s">
        <v>28</v>
      </c>
      <c r="H13" s="3">
        <v>36443</v>
      </c>
      <c r="I13" s="3">
        <v>45513</v>
      </c>
      <c r="J13" s="9" t="b">
        <f t="shared" si="1"/>
        <v>1</v>
      </c>
      <c r="K13" s="3"/>
      <c r="L13" s="4">
        <v>10000</v>
      </c>
      <c r="M13" s="5">
        <v>60</v>
      </c>
    </row>
    <row r="14" spans="1:16" ht="14.25" customHeight="1">
      <c r="A14" s="2">
        <v>9</v>
      </c>
      <c r="B14" s="2" t="b">
        <f t="shared" si="0"/>
        <v>0</v>
      </c>
      <c r="C14" s="2" t="s">
        <v>50</v>
      </c>
      <c r="D14" s="2" t="s">
        <v>16</v>
      </c>
      <c r="E14" s="2" t="s">
        <v>51</v>
      </c>
      <c r="F14" s="2" t="s">
        <v>27</v>
      </c>
      <c r="G14" s="2" t="s">
        <v>14</v>
      </c>
      <c r="H14" s="3">
        <v>35771</v>
      </c>
      <c r="I14" s="3">
        <v>45416</v>
      </c>
      <c r="J14" s="9" t="b">
        <f t="shared" si="1"/>
        <v>0</v>
      </c>
      <c r="K14" s="3"/>
      <c r="L14" s="4">
        <v>16250</v>
      </c>
      <c r="M14" s="5">
        <v>25</v>
      </c>
    </row>
    <row r="15" spans="1:16" ht="14.25" customHeight="1">
      <c r="A15" s="2">
        <v>14</v>
      </c>
      <c r="B15" s="2" t="b">
        <f t="shared" si="0"/>
        <v>1</v>
      </c>
      <c r="C15" s="2" t="s">
        <v>52</v>
      </c>
      <c r="D15" s="2" t="s">
        <v>21</v>
      </c>
      <c r="E15" s="2" t="s">
        <v>49</v>
      </c>
      <c r="F15" s="2" t="s">
        <v>27</v>
      </c>
      <c r="G15" s="2" t="s">
        <v>19</v>
      </c>
      <c r="H15" s="3">
        <v>36426</v>
      </c>
      <c r="I15" s="3">
        <v>45470</v>
      </c>
      <c r="J15" s="9" t="b">
        <f t="shared" si="1"/>
        <v>1</v>
      </c>
      <c r="K15" s="3"/>
      <c r="L15" s="4">
        <v>6400</v>
      </c>
      <c r="M15" s="5">
        <v>23</v>
      </c>
    </row>
    <row r="16" spans="1:16" ht="14.25" customHeight="1">
      <c r="A16" s="2">
        <v>4</v>
      </c>
      <c r="B16" s="2" t="b">
        <f t="shared" si="0"/>
        <v>0</v>
      </c>
      <c r="C16" s="2" t="s">
        <v>53</v>
      </c>
      <c r="D16" s="2" t="s">
        <v>54</v>
      </c>
      <c r="E16" s="2" t="s">
        <v>17</v>
      </c>
      <c r="F16" s="2" t="s">
        <v>18</v>
      </c>
      <c r="G16" s="2" t="s">
        <v>23</v>
      </c>
      <c r="H16" s="3">
        <v>37313</v>
      </c>
      <c r="I16" s="3">
        <v>45315</v>
      </c>
      <c r="J16" s="9" t="b">
        <f t="shared" si="1"/>
        <v>1</v>
      </c>
      <c r="K16" s="3"/>
      <c r="L16" s="4">
        <v>4500</v>
      </c>
      <c r="M16" s="5"/>
    </row>
    <row r="17" spans="1:13" ht="14.25" customHeight="1">
      <c r="A17" s="2">
        <v>16</v>
      </c>
      <c r="B17" s="2" t="b">
        <f t="shared" si="0"/>
        <v>1</v>
      </c>
      <c r="C17" s="2" t="s">
        <v>55</v>
      </c>
      <c r="D17" s="2" t="s">
        <v>39</v>
      </c>
      <c r="E17" s="2" t="s">
        <v>49</v>
      </c>
      <c r="F17" s="2" t="s">
        <v>27</v>
      </c>
      <c r="G17" s="2" t="s">
        <v>28</v>
      </c>
      <c r="H17" s="3">
        <v>34815</v>
      </c>
      <c r="I17" s="3">
        <v>45626</v>
      </c>
      <c r="J17" s="9" t="b">
        <f t="shared" si="1"/>
        <v>0</v>
      </c>
      <c r="K17" s="3"/>
      <c r="L17" s="4">
        <v>6275</v>
      </c>
      <c r="M17" s="5"/>
    </row>
    <row r="18" spans="1:13" ht="14.25" customHeight="1">
      <c r="A18" s="2">
        <v>17</v>
      </c>
      <c r="B18" s="2" t="b">
        <f t="shared" si="0"/>
        <v>1</v>
      </c>
      <c r="C18" s="2" t="s">
        <v>56</v>
      </c>
      <c r="D18" s="2" t="s">
        <v>57</v>
      </c>
      <c r="E18" s="2" t="s">
        <v>12</v>
      </c>
      <c r="F18" s="2" t="s">
        <v>13</v>
      </c>
      <c r="G18" s="2" t="s">
        <v>58</v>
      </c>
      <c r="H18" s="3">
        <v>35365</v>
      </c>
      <c r="I18" s="3">
        <v>45605</v>
      </c>
      <c r="J18" s="9" t="b">
        <f t="shared" si="1"/>
        <v>0</v>
      </c>
      <c r="K18" s="3"/>
      <c r="L18" s="4">
        <v>6250</v>
      </c>
      <c r="M18" s="5"/>
    </row>
    <row r="19" spans="1:13" ht="14.25" customHeight="1">
      <c r="A19" s="2">
        <v>18</v>
      </c>
      <c r="B19" s="2" t="b">
        <f t="shared" si="0"/>
        <v>1</v>
      </c>
      <c r="C19" s="2" t="s">
        <v>59</v>
      </c>
      <c r="D19" s="2" t="s">
        <v>60</v>
      </c>
      <c r="E19" s="2" t="s">
        <v>12</v>
      </c>
      <c r="F19" s="2" t="s">
        <v>13</v>
      </c>
      <c r="G19" s="2" t="s">
        <v>28</v>
      </c>
      <c r="H19" s="3">
        <v>36272</v>
      </c>
      <c r="I19" s="3">
        <v>45325</v>
      </c>
      <c r="J19" s="9" t="b">
        <f t="shared" si="1"/>
        <v>0</v>
      </c>
      <c r="K19" s="3"/>
      <c r="L19" s="4">
        <v>8750</v>
      </c>
      <c r="M19" s="5"/>
    </row>
    <row r="20" spans="1:13" ht="14.25" customHeight="1">
      <c r="A20" s="2">
        <v>19</v>
      </c>
      <c r="B20" s="2" t="b">
        <f t="shared" si="0"/>
        <v>1</v>
      </c>
      <c r="C20" s="2" t="s">
        <v>61</v>
      </c>
      <c r="D20" s="2" t="s">
        <v>62</v>
      </c>
      <c r="E20" s="2" t="s">
        <v>63</v>
      </c>
      <c r="F20" s="2" t="s">
        <v>13</v>
      </c>
      <c r="G20" s="2" t="s">
        <v>58</v>
      </c>
      <c r="H20" s="3">
        <v>36200</v>
      </c>
      <c r="I20" s="3">
        <v>45353</v>
      </c>
      <c r="J20" s="9" t="b">
        <f t="shared" si="1"/>
        <v>0</v>
      </c>
      <c r="K20" s="3"/>
      <c r="L20" s="4">
        <v>11250</v>
      </c>
      <c r="M20" s="5"/>
    </row>
    <row r="21" spans="1:13" ht="14.25" customHeight="1">
      <c r="A21" s="2">
        <v>20</v>
      </c>
      <c r="B21" s="2" t="b">
        <f t="shared" si="0"/>
        <v>1</v>
      </c>
      <c r="C21" s="2" t="s">
        <v>64</v>
      </c>
      <c r="D21" s="2" t="s">
        <v>65</v>
      </c>
      <c r="E21" s="2" t="s">
        <v>22</v>
      </c>
      <c r="F21" s="2" t="s">
        <v>18</v>
      </c>
      <c r="G21" s="2" t="s">
        <v>14</v>
      </c>
      <c r="H21" s="3">
        <v>34708</v>
      </c>
      <c r="I21" s="3">
        <v>45589</v>
      </c>
      <c r="J21" s="9" t="b">
        <f t="shared" si="1"/>
        <v>1</v>
      </c>
      <c r="K21" s="3"/>
      <c r="L21" s="4">
        <v>10000</v>
      </c>
      <c r="M21" s="5"/>
    </row>
    <row r="22" spans="1:13" ht="14.25" customHeight="1"/>
    <row r="23" spans="1:13" ht="14.25" customHeight="1"/>
    <row r="24" spans="1:13" ht="14.25" customHeight="1">
      <c r="A24" t="s">
        <v>68</v>
      </c>
    </row>
    <row r="25" spans="1:13" ht="14.25" customHeight="1"/>
    <row r="26" spans="1:13" ht="14.25" customHeight="1"/>
    <row r="27" spans="1:13" ht="14.25" customHeight="1"/>
    <row r="28" spans="1:13" ht="14.25" customHeight="1">
      <c r="I28" s="8"/>
    </row>
    <row r="29" spans="1:13" ht="14.25" customHeight="1"/>
    <row r="30" spans="1:13" ht="14.25" customHeight="1"/>
    <row r="31" spans="1:13" ht="14.25" customHeight="1"/>
    <row r="32" spans="1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8">
    <dataValidation type="decimal" operator="greaterThanOrEqual" allowBlank="1" showInputMessage="1" showErrorMessage="1" sqref="L2:L21" xr:uid="{0F7E7708-7020-4B14-83CB-4101FB2666FD}">
      <formula1>6000</formula1>
    </dataValidation>
    <dataValidation type="time" allowBlank="1" showInputMessage="1" showErrorMessage="1" sqref="N1" xr:uid="{9C2B344F-CA77-4A00-A92A-9B386C133C63}">
      <formula1>0.399305555555556</formula1>
      <formula2>0.40625</formula2>
    </dataValidation>
    <dataValidation type="list" allowBlank="1" showInputMessage="1" showErrorMessage="1" sqref="F2:F21" xr:uid="{D6505E15-16B3-40D1-B791-853AA0D1ACF3}">
      <formula1>"S,N,W,E"</formula1>
    </dataValidation>
    <dataValidation type="time" errorStyle="warning" allowBlank="1" showInputMessage="1" showErrorMessage="1" errorTitle="Timing alert" error="Present in time" sqref="N2:N21" xr:uid="{E9F0F7C5-7998-41B0-8586-CADCDB592A8F}">
      <formula1>0.395833333333333</formula1>
      <formula2>0.40625</formula2>
    </dataValidation>
    <dataValidation type="whole" allowBlank="1" showInputMessage="1" showErrorMessage="1" errorTitle="error alert" error="Enter the age between 18 to 60" promptTitle="Rule" prompt="Enter the age between 18 to 60_x000a_" sqref="M2:M21" xr:uid="{B8650D8B-C860-40C7-AE51-AFBE8C647024}">
      <formula1>18</formula1>
      <formula2>60</formula2>
    </dataValidation>
    <dataValidation type="custom" allowBlank="1" showInputMessage="1" showErrorMessage="1" sqref="O2:O21" xr:uid="{172E03E1-173F-40F6-A8E2-385C9EB3B484}">
      <formula1>AND(ISNUMBER(O2),LEN(O2)=10)</formula1>
    </dataValidation>
    <dataValidation type="custom" allowBlank="1" showInputMessage="1" showErrorMessage="1" sqref="A2:A21" xr:uid="{1FE810A4-C1F1-4FB7-92D5-DF59847125EF}">
      <formula1>COUNTIF($A$2:$A$21,A2)=1</formula1>
    </dataValidation>
    <dataValidation type="custom" allowBlank="1" showInputMessage="1" showErrorMessage="1" sqref="I2:I21" xr:uid="{33197209-FA03-4834-8487-CAA491BD6B66}">
      <formula1>WEEKDAY(I2,2)&lt;6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3385AD-5F47-4947-8972-D51C3BB89AA2}">
          <x14:formula1>
            <xm:f>Sheet2!$B$2:$B$6</xm:f>
          </x14:formula1>
          <xm:sqref>G2:G21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6F7A-6424-4A8A-AD68-CAC60B82C818}">
  <dimension ref="B1:B6"/>
  <sheetViews>
    <sheetView workbookViewId="0">
      <selection activeCell="B1" sqref="B1:B6"/>
    </sheetView>
  </sheetViews>
  <sheetFormatPr defaultRowHeight="14.4"/>
  <cols>
    <col min="2" max="2" width="17.6640625" customWidth="1"/>
  </cols>
  <sheetData>
    <row r="1" spans="2:2" ht="15.6">
      <c r="B1" s="1" t="s">
        <v>5</v>
      </c>
    </row>
    <row r="2" spans="2:2" ht="15.6">
      <c r="B2" s="2" t="s">
        <v>14</v>
      </c>
    </row>
    <row r="3" spans="2:2" ht="15.6">
      <c r="B3" s="2" t="s">
        <v>19</v>
      </c>
    </row>
    <row r="4" spans="2:2" ht="15.6">
      <c r="B4" s="2" t="s">
        <v>23</v>
      </c>
    </row>
    <row r="5" spans="2:2" ht="15.6">
      <c r="B5" s="2" t="s">
        <v>28</v>
      </c>
    </row>
    <row r="6" spans="2:2" ht="15.6">
      <c r="B6" s="2" t="s">
        <v>58</v>
      </c>
    </row>
  </sheetData>
  <sheetProtection algorithmName="SHA-512" hashValue="DZkaojs6CYu6T7GSgTJmxGhVcKYk6kQr0Mo8HzVuUDkycO42CrxCg9wMEhgVftHfG22hmEOiRUvo7U1liLzsbg==" saltValue="3p0AhdnzV5fLE8NwqUcdoQ==" spinCount="100000" sheet="1" objects="1" scenarios="1"/>
  <dataValidations count="1">
    <dataValidation type="list" allowBlank="1" showInputMessage="1" showErrorMessage="1" sqref="H4:H9 B2:B6" xr:uid="{99F10DFC-4A32-40C0-BC84-6691B64AD2C4}">
      <formula1>$B$2:$B$6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9CE0-B3F0-4AAF-A158-20DAB2C77ECE}">
  <dimension ref="A1:J9"/>
  <sheetViews>
    <sheetView workbookViewId="0">
      <selection activeCell="J9" sqref="J9"/>
    </sheetView>
  </sheetViews>
  <sheetFormatPr defaultRowHeight="14.4"/>
  <sheetData>
    <row r="1" spans="1:10" ht="15.6">
      <c r="A1" s="1" t="s">
        <v>5</v>
      </c>
    </row>
    <row r="2" spans="1:10" ht="15.6">
      <c r="A2" s="2" t="s">
        <v>14</v>
      </c>
    </row>
    <row r="3" spans="1:10" ht="15.6">
      <c r="A3" s="2" t="s">
        <v>19</v>
      </c>
    </row>
    <row r="4" spans="1:10" ht="15.6">
      <c r="A4" s="2" t="s">
        <v>23</v>
      </c>
    </row>
    <row r="5" spans="1:10" ht="15.6">
      <c r="A5" s="2" t="s">
        <v>28</v>
      </c>
    </row>
    <row r="6" spans="1:10" ht="15.6">
      <c r="A6" s="2" t="s">
        <v>58</v>
      </c>
    </row>
    <row r="9" spans="1:10">
      <c r="J9" t="s">
        <v>58</v>
      </c>
    </row>
  </sheetData>
  <dataValidations count="1">
    <dataValidation type="list" allowBlank="1" showInputMessage="1" showErrorMessage="1" sqref="A2:A6" xr:uid="{DCDD0386-1196-4037-B188-647F0A3A21AF}">
      <formula1>$B$2:$B$6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2CAE35-2413-470A-880A-3947D101E84F}">
          <x14:formula1>
            <xm:f>Sheet2!$B$2:$B$6</xm:f>
          </x14:formula1>
          <xm:sqref>J9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Validation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</dc:creator>
  <cp:lastModifiedBy>Om Gore</cp:lastModifiedBy>
  <dcterms:created xsi:type="dcterms:W3CDTF">2022-04-20T13:34:41Z</dcterms:created>
  <dcterms:modified xsi:type="dcterms:W3CDTF">2026-10-16T12:01:13Z</dcterms:modified>
</cp:coreProperties>
</file>