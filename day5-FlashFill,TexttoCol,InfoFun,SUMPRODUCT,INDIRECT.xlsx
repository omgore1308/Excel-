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xcelR\"/>
    </mc:Choice>
  </mc:AlternateContent>
  <xr:revisionPtr revIDLastSave="0" documentId="13_ncr:1_{4262C1DD-090C-4DDB-8165-07850A4E739E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Flash Fill" sheetId="1" r:id="rId1"/>
    <sheet name="Text to Column" sheetId="2" r:id="rId2"/>
    <sheet name="Information Functions" sheetId="3" r:id="rId3"/>
    <sheet name="Sumproduct" sheetId="4" r:id="rId4"/>
    <sheet name="Sheet1" sheetId="6" r:id="rId5"/>
    <sheet name="Indirect" sheetId="5" r:id="rId6"/>
  </sheets>
  <definedNames>
    <definedName name="SALARY">Indirect!$G$2:$G$21</definedName>
  </definedNames>
  <calcPr calcId="191029"/>
  <extLst>
    <ext uri="GoogleSheetsCustomDataVersion2">
      <go:sheetsCustomData xmlns:go="http://customooxmlschemas.google.com/" r:id="rId9" roundtripDataChecksum="CvIUVf/MxROy88d92lFmbfpbHD2ayI4DY02cyqdudi8="/>
    </ext>
  </extLst>
</workbook>
</file>

<file path=xl/calcChain.xml><?xml version="1.0" encoding="utf-8"?>
<calcChain xmlns="http://schemas.openxmlformats.org/spreadsheetml/2006/main">
  <c r="I13" i="6" l="1"/>
  <c r="I12" i="6"/>
  <c r="I11" i="6"/>
  <c r="I10" i="6"/>
  <c r="I9" i="6"/>
  <c r="I8" i="6"/>
  <c r="I9" i="5"/>
  <c r="I5" i="5"/>
  <c r="I4" i="5"/>
  <c r="E13" i="4"/>
  <c r="E11" i="4"/>
  <c r="E5" i="4"/>
  <c r="E6" i="4"/>
  <c r="E7" i="4"/>
  <c r="E8" i="4"/>
  <c r="E9" i="4"/>
  <c r="E10" i="4"/>
  <c r="E4" i="4"/>
  <c r="F3" i="3"/>
  <c r="F4" i="3"/>
  <c r="F5" i="3"/>
  <c r="F7" i="3"/>
  <c r="F8" i="3"/>
  <c r="F9" i="3"/>
  <c r="F10" i="3"/>
  <c r="F11" i="3"/>
  <c r="F12" i="3"/>
  <c r="F13" i="3"/>
  <c r="F14" i="3"/>
  <c r="F2" i="3"/>
  <c r="H3" i="3"/>
  <c r="H4" i="3"/>
  <c r="H5" i="3"/>
  <c r="H7" i="3"/>
  <c r="H8" i="3"/>
  <c r="H9" i="3"/>
  <c r="H10" i="3"/>
  <c r="H11" i="3"/>
  <c r="H12" i="3"/>
  <c r="H13" i="3"/>
  <c r="H14" i="3"/>
  <c r="H2" i="3"/>
  <c r="G6" i="3"/>
  <c r="G3" i="3"/>
  <c r="G4" i="3"/>
  <c r="G5" i="3"/>
  <c r="G7" i="3"/>
  <c r="G8" i="3"/>
  <c r="G9" i="3"/>
  <c r="G10" i="3"/>
  <c r="G11" i="3"/>
  <c r="G12" i="3"/>
  <c r="G13" i="3"/>
  <c r="G14" i="3"/>
  <c r="G2" i="3"/>
  <c r="E3" i="3"/>
  <c r="E4" i="3"/>
  <c r="E5" i="3"/>
  <c r="E7" i="3"/>
  <c r="E8" i="3"/>
  <c r="E9" i="3"/>
  <c r="E10" i="3"/>
  <c r="E11" i="3"/>
  <c r="E12" i="3"/>
  <c r="E13" i="3"/>
  <c r="E14" i="3"/>
  <c r="E2" i="3"/>
  <c r="D3" i="3"/>
  <c r="D4" i="3"/>
  <c r="D5" i="3"/>
  <c r="D7" i="3"/>
  <c r="D8" i="3"/>
  <c r="D9" i="3"/>
  <c r="D10" i="3"/>
  <c r="D11" i="3"/>
  <c r="D12" i="3"/>
  <c r="D13" i="3"/>
  <c r="D14" i="3"/>
  <c r="D2" i="3"/>
  <c r="C3" i="3"/>
  <c r="C4" i="3"/>
  <c r="C5" i="3"/>
  <c r="C7" i="3"/>
  <c r="C8" i="3"/>
  <c r="C9" i="3"/>
  <c r="C10" i="3"/>
  <c r="C11" i="3"/>
  <c r="C12" i="3"/>
  <c r="C13" i="3"/>
  <c r="C14" i="3"/>
  <c r="C2" i="3"/>
  <c r="B3" i="3"/>
  <c r="B4" i="3"/>
  <c r="B5" i="3"/>
  <c r="B7" i="3"/>
  <c r="B8" i="3"/>
  <c r="B9" i="3"/>
  <c r="B10" i="3"/>
  <c r="B11" i="3"/>
  <c r="B12" i="3"/>
  <c r="B13" i="3"/>
  <c r="B14" i="3"/>
  <c r="B2" i="3"/>
  <c r="H16" i="3"/>
  <c r="G16" i="3"/>
  <c r="F16" i="3"/>
  <c r="E16" i="3"/>
  <c r="D16" i="3"/>
  <c r="C16" i="3"/>
  <c r="A6" i="3"/>
  <c r="B6" i="3" s="1"/>
  <c r="A27" i="2"/>
  <c r="J12" i="6"/>
  <c r="J13" i="6"/>
  <c r="J11" i="6"/>
  <c r="J10" i="6"/>
  <c r="J9" i="6"/>
  <c r="J8" i="6"/>
  <c r="I11" i="5"/>
  <c r="I10" i="5"/>
  <c r="K5" i="5"/>
  <c r="K11" i="5"/>
  <c r="K10" i="5"/>
  <c r="K9" i="5"/>
  <c r="K4" i="5"/>
  <c r="F6" i="3" l="1"/>
  <c r="H6" i="3"/>
  <c r="E6" i="3"/>
  <c r="D6" i="3"/>
  <c r="C6" i="3"/>
</calcChain>
</file>

<file path=xl/sharedStrings.xml><?xml version="1.0" encoding="utf-8"?>
<sst xmlns="http://schemas.openxmlformats.org/spreadsheetml/2006/main" count="493" uniqueCount="263">
  <si>
    <t>First Name</t>
  </si>
  <si>
    <t>Last Name</t>
  </si>
  <si>
    <t>Example-1</t>
  </si>
  <si>
    <t>Example-2</t>
  </si>
  <si>
    <t>Example-3</t>
  </si>
  <si>
    <t>Example-4</t>
  </si>
  <si>
    <t>Emp Code</t>
  </si>
  <si>
    <t>Employee Name</t>
  </si>
  <si>
    <t>Address</t>
  </si>
  <si>
    <t>City</t>
  </si>
  <si>
    <t>Region</t>
  </si>
  <si>
    <t>Department</t>
  </si>
  <si>
    <t>Basic</t>
  </si>
  <si>
    <t>Unique ID</t>
  </si>
  <si>
    <t>AP</t>
  </si>
  <si>
    <t>Kapoor</t>
  </si>
  <si>
    <t>Prakash Dutta</t>
  </si>
  <si>
    <t>Elgin Road</t>
  </si>
  <si>
    <t>Kolkata</t>
  </si>
  <si>
    <t>E</t>
  </si>
  <si>
    <t>Marketing</t>
  </si>
  <si>
    <t>Priya</t>
  </si>
  <si>
    <t>Sharma</t>
  </si>
  <si>
    <t>Prateek Babbar</t>
  </si>
  <si>
    <t>North Road</t>
  </si>
  <si>
    <t>Delhi</t>
  </si>
  <si>
    <t>N</t>
  </si>
  <si>
    <t>Rahul</t>
  </si>
  <si>
    <t>Verma</t>
  </si>
  <si>
    <t>Arjun Jain</t>
  </si>
  <si>
    <t>MG Road</t>
  </si>
  <si>
    <t>Mumbai</t>
  </si>
  <si>
    <t>W</t>
  </si>
  <si>
    <t>Training</t>
  </si>
  <si>
    <t>Deepa</t>
  </si>
  <si>
    <t>Mehta</t>
  </si>
  <si>
    <t>Satish Puri</t>
  </si>
  <si>
    <t>Bandra</t>
  </si>
  <si>
    <t>Operation</t>
  </si>
  <si>
    <t>GHEA2045</t>
  </si>
  <si>
    <t>Suresh</t>
  </si>
  <si>
    <t>Kumar</t>
  </si>
  <si>
    <t>Manisha Guha</t>
  </si>
  <si>
    <t>Alipore</t>
  </si>
  <si>
    <t>R&amp;D</t>
  </si>
  <si>
    <t>GHEB2045</t>
  </si>
  <si>
    <t>Kavita</t>
  </si>
  <si>
    <t>Rao</t>
  </si>
  <si>
    <t>Sukanya Reddy</t>
  </si>
  <si>
    <t>Mangalore</t>
  </si>
  <si>
    <t>S</t>
  </si>
  <si>
    <t>GHEA2046</t>
  </si>
  <si>
    <t>Rani</t>
  </si>
  <si>
    <t>Gupta</t>
  </si>
  <si>
    <t>Jharna Biswal</t>
  </si>
  <si>
    <t>Link Road</t>
  </si>
  <si>
    <t>Cuttack</t>
  </si>
  <si>
    <t>Accounts</t>
  </si>
  <si>
    <t>GHEB2046</t>
  </si>
  <si>
    <t>Ajay</t>
  </si>
  <si>
    <t>Patel</t>
  </si>
  <si>
    <t>Ashwini</t>
  </si>
  <si>
    <t>Sector 9</t>
  </si>
  <si>
    <t>GHEA2047</t>
  </si>
  <si>
    <t>Vijay</t>
  </si>
  <si>
    <t>Singh</t>
  </si>
  <si>
    <t>Arjun Kapoor</t>
  </si>
  <si>
    <t>Bangalore</t>
  </si>
  <si>
    <t>GHEB2047</t>
  </si>
  <si>
    <t>Neha</t>
  </si>
  <si>
    <t>Bhatt</t>
  </si>
  <si>
    <t>Anjum Chopra</t>
  </si>
  <si>
    <t>Worli</t>
  </si>
  <si>
    <t>GHEA2048</t>
  </si>
  <si>
    <t>JP Kumar</t>
  </si>
  <si>
    <t>Andheri (W)</t>
  </si>
  <si>
    <t>GHEB2048</t>
  </si>
  <si>
    <t>Shahid Khan</t>
  </si>
  <si>
    <t>M.G Road</t>
  </si>
  <si>
    <t>GHEA2049</t>
  </si>
  <si>
    <t>Manish Grover</t>
  </si>
  <si>
    <t>L L R Road</t>
  </si>
  <si>
    <t>Noida</t>
  </si>
  <si>
    <t>AP Kapoor</t>
  </si>
  <si>
    <t>Priya Agarwal</t>
  </si>
  <si>
    <t>Priya Sharma</t>
  </si>
  <si>
    <t>Abrar</t>
  </si>
  <si>
    <t>Jayanagar</t>
  </si>
  <si>
    <t>Rahul Verma</t>
  </si>
  <si>
    <t>Akram Khan</t>
  </si>
  <si>
    <t>S P B Road</t>
  </si>
  <si>
    <t>Pune</t>
  </si>
  <si>
    <t>Deepa Mehta</t>
  </si>
  <si>
    <t>Anjali Thakur</t>
  </si>
  <si>
    <t>Govindpuri</t>
  </si>
  <si>
    <t>Suresh Kumar</t>
  </si>
  <si>
    <t>R Vasu</t>
  </si>
  <si>
    <t>Egmore</t>
  </si>
  <si>
    <t>Chennai</t>
  </si>
  <si>
    <t>Kavita Rao</t>
  </si>
  <si>
    <t>Sanjay Gupta</t>
  </si>
  <si>
    <t>Rani Gupta</t>
  </si>
  <si>
    <t>Anupam Mishra</t>
  </si>
  <si>
    <t>Mysore</t>
  </si>
  <si>
    <t>Ajay Patel</t>
  </si>
  <si>
    <t>Vijay Singh</t>
  </si>
  <si>
    <t>Neha Bhatt</t>
  </si>
  <si>
    <t>DATA</t>
  </si>
  <si>
    <t>KA-05-KP-8562</t>
  </si>
  <si>
    <t>MH-05-AP-9845</t>
  </si>
  <si>
    <t>Anjali ,Thakur</t>
  </si>
  <si>
    <t>TN-10-RD-9878</t>
  </si>
  <si>
    <t>"Priya AgarwaL"</t>
  </si>
  <si>
    <t>AP-10-NA-2378</t>
  </si>
  <si>
    <t>R#Vasu,Muthanna</t>
  </si>
  <si>
    <t>TS-04-BA-9567</t>
  </si>
  <si>
    <t>Sanjay;Gupta</t>
  </si>
  <si>
    <t>KL-07-ST-8923</t>
  </si>
  <si>
    <t>Jharna ,Biswal</t>
  </si>
  <si>
    <t>WB-11-CG-5679</t>
  </si>
  <si>
    <t>Prakash#Dutta</t>
  </si>
  <si>
    <t>UP-09-ST-7453</t>
  </si>
  <si>
    <t>Manisha;Guha</t>
  </si>
  <si>
    <t>OR-06-KN-4598</t>
  </si>
  <si>
    <t>Arjun,JAiN</t>
  </si>
  <si>
    <t>DL-03-EG-8345</t>
  </si>
  <si>
    <t>Arjun#Kapoor</t>
  </si>
  <si>
    <t>GA-05-AP-3456</t>
  </si>
  <si>
    <t>"Ajay Kumar"</t>
  </si>
  <si>
    <t>KA05KP8562</t>
  </si>
  <si>
    <t>MH05AP9845</t>
  </si>
  <si>
    <t>TN10RD9878</t>
  </si>
  <si>
    <t>AP10NA2378</t>
  </si>
  <si>
    <t>TS04BA9567</t>
  </si>
  <si>
    <t>KL07ST8923</t>
  </si>
  <si>
    <t>WB11CG5679</t>
  </si>
  <si>
    <t>UP09ST7453</t>
  </si>
  <si>
    <t>OR06KN4598</t>
  </si>
  <si>
    <t>DL03EG8345</t>
  </si>
  <si>
    <t>GA05AP3456</t>
  </si>
  <si>
    <t>ISTEXT</t>
  </si>
  <si>
    <t>ISNONTEXT</t>
  </si>
  <si>
    <t>ISNUMBER</t>
  </si>
  <si>
    <t>ISEVEN</t>
  </si>
  <si>
    <t>ISODD</t>
  </si>
  <si>
    <t>ISFORMULA</t>
  </si>
  <si>
    <t>ISLOGICAL</t>
  </si>
  <si>
    <t>India</t>
  </si>
  <si>
    <t>Excel</t>
  </si>
  <si>
    <t>Product Name</t>
  </si>
  <si>
    <t>Quantity</t>
  </si>
  <si>
    <t>Rate</t>
  </si>
  <si>
    <t>Amount</t>
  </si>
  <si>
    <t>Pepsi</t>
  </si>
  <si>
    <t>coke</t>
  </si>
  <si>
    <t>Slice</t>
  </si>
  <si>
    <t>Miranda</t>
  </si>
  <si>
    <t>Team</t>
  </si>
  <si>
    <t>7-Up</t>
  </si>
  <si>
    <t>frooty</t>
  </si>
  <si>
    <t>Total Amount</t>
  </si>
  <si>
    <t>SALARY</t>
  </si>
  <si>
    <t>PDEM7</t>
  </si>
  <si>
    <t>PBNM15</t>
  </si>
  <si>
    <t>AJWT9</t>
  </si>
  <si>
    <t>SPWO17</t>
  </si>
  <si>
    <t>MGER&amp;D8</t>
  </si>
  <si>
    <t>SRSR&amp;D16</t>
  </si>
  <si>
    <t>JBEA6</t>
  </si>
  <si>
    <t>AASA14</t>
  </si>
  <si>
    <t>AKSA10</t>
  </si>
  <si>
    <t>ACWR&amp;D18</t>
  </si>
  <si>
    <t>JPKWT1</t>
  </si>
  <si>
    <t>SKSR&amp;D12</t>
  </si>
  <si>
    <t>MGNT20</t>
  </si>
  <si>
    <t>PANM3</t>
  </si>
  <si>
    <t>AASM11</t>
  </si>
  <si>
    <t>AKWO19</t>
  </si>
  <si>
    <t>ATNA2</t>
  </si>
  <si>
    <t>RVSR&amp;D4</t>
  </si>
  <si>
    <t>SGNT5</t>
  </si>
  <si>
    <t>AMST13</t>
  </si>
  <si>
    <t>GHEA</t>
  </si>
  <si>
    <t>GHEB</t>
  </si>
  <si>
    <t>KA</t>
  </si>
  <si>
    <t>KP</t>
  </si>
  <si>
    <t>MH</t>
  </si>
  <si>
    <t>TN</t>
  </si>
  <si>
    <t>RD</t>
  </si>
  <si>
    <t>NA</t>
  </si>
  <si>
    <t>TS</t>
  </si>
  <si>
    <t>BA</t>
  </si>
  <si>
    <t>KL</t>
  </si>
  <si>
    <t>ST</t>
  </si>
  <si>
    <t>WB</t>
  </si>
  <si>
    <t>CG</t>
  </si>
  <si>
    <t>UP</t>
  </si>
  <si>
    <t>OR</t>
  </si>
  <si>
    <t>KN</t>
  </si>
  <si>
    <t>DL</t>
  </si>
  <si>
    <t>EG</t>
  </si>
  <si>
    <t>GA</t>
  </si>
  <si>
    <t>JP</t>
  </si>
  <si>
    <t>Anjali</t>
  </si>
  <si>
    <t>Thakur</t>
  </si>
  <si>
    <t>R</t>
  </si>
  <si>
    <t>Vasu</t>
  </si>
  <si>
    <t>Muthanna</t>
  </si>
  <si>
    <t>Sanjay</t>
  </si>
  <si>
    <t>Jharna</t>
  </si>
  <si>
    <t>Biswal</t>
  </si>
  <si>
    <t>Prakash</t>
  </si>
  <si>
    <t>Dutta</t>
  </si>
  <si>
    <t>Manisha</t>
  </si>
  <si>
    <t>Guha</t>
  </si>
  <si>
    <t>Arjun</t>
  </si>
  <si>
    <t>JAiN</t>
  </si>
  <si>
    <t>AgarwaL</t>
  </si>
  <si>
    <t>G12</t>
  </si>
  <si>
    <t>How to write conditions on number data?</t>
  </si>
  <si>
    <t>comparison operators</t>
  </si>
  <si>
    <t>=</t>
  </si>
  <si>
    <t>&lt;&gt;</t>
  </si>
  <si>
    <t>&lt;</t>
  </si>
  <si>
    <t>&gt;</t>
  </si>
  <si>
    <t>&lt;=</t>
  </si>
  <si>
    <t>&gt;=</t>
  </si>
  <si>
    <t>equals</t>
  </si>
  <si>
    <t>not equals</t>
  </si>
  <si>
    <t>less than</t>
  </si>
  <si>
    <t>grater than</t>
  </si>
  <si>
    <t>lessthan or equals</t>
  </si>
  <si>
    <t xml:space="preserve"> or equals</t>
  </si>
  <si>
    <t>AP KAPOOR</t>
  </si>
  <si>
    <t>PRIYA SHARMA</t>
  </si>
  <si>
    <t>RAHUL VERMA</t>
  </si>
  <si>
    <t>DEEPA MEHTA</t>
  </si>
  <si>
    <t>SURESH KUMAR</t>
  </si>
  <si>
    <t>KAVITA RAO</t>
  </si>
  <si>
    <t>RANI GUPTA</t>
  </si>
  <si>
    <t>AJAY PATEL</t>
  </si>
  <si>
    <t>VIJAY SINGH</t>
  </si>
  <si>
    <t>NEHA BHATT</t>
  </si>
  <si>
    <t>apkapoor@sample.com</t>
  </si>
  <si>
    <t>priyasharma@sample.com</t>
  </si>
  <si>
    <t>rahulverma@sample.com</t>
  </si>
  <si>
    <t>deepamehta@sample.com</t>
  </si>
  <si>
    <t>sureshkumar@sample.com</t>
  </si>
  <si>
    <t>kavitarao@sample.com</t>
  </si>
  <si>
    <t>ranigupta@sample.com</t>
  </si>
  <si>
    <t>ajaypatel@sample.com</t>
  </si>
  <si>
    <t>vijaysingh@sample.com</t>
  </si>
  <si>
    <t>nehabhatt@sample.com</t>
  </si>
  <si>
    <t>ap-kapoor@sample.com</t>
  </si>
  <si>
    <t>priya-sharma@sample.com</t>
  </si>
  <si>
    <t>rahul-verma@sample.com</t>
  </si>
  <si>
    <t>deepa-mehta@sample.com</t>
  </si>
  <si>
    <t>suresh-kumar@sample.com</t>
  </si>
  <si>
    <t>kavita-rao@sample.com</t>
  </si>
  <si>
    <t>rani-gupta@sample.com</t>
  </si>
  <si>
    <t>ajay-patel@sample.com</t>
  </si>
  <si>
    <t>vijay-singh@sample.com</t>
  </si>
  <si>
    <t>neha-bhatt@sample.com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</si>
</sst>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[Red]&quot;₹&quot;\ #,##0.00"/>
  </numFmts>
  <fonts count="11">
    <font>
      <sz val="11"/>
      <color theme="1"/>
      <name val="Calibri"/>
      <scheme val="minor"/>
    </font>
    <font>
      <sz val="9"/>
      <color rgb="FF0D0D0D"/>
      <name val="Quattrocento Sans"/>
    </font>
    <font>
      <b/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</font>
    <font>
      <b/>
      <sz val="9"/>
      <color rgb="FF0D0D0D"/>
      <name val="Play"/>
    </font>
    <font>
      <sz val="11"/>
      <color theme="1"/>
      <name val="Play"/>
    </font>
    <font>
      <b/>
      <sz val="11"/>
      <color theme="1"/>
      <name val="Play"/>
    </font>
    <font>
      <sz val="11"/>
      <color theme="1"/>
      <name val="Calibri"/>
      <scheme val="minor"/>
    </font>
    <font>
      <sz val="8"/>
      <name val="Calibri"/>
      <scheme val="minor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/>
    <xf numFmtId="164" fontId="2" fillId="2" borderId="3" xfId="0" applyNumberFormat="1" applyFont="1" applyFill="1" applyBorder="1"/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3" fillId="0" borderId="0" xfId="0" applyFont="1"/>
    <xf numFmtId="0" fontId="4" fillId="0" borderId="6" xfId="0" applyFont="1" applyBorder="1"/>
    <xf numFmtId="164" fontId="4" fillId="0" borderId="6" xfId="0" applyNumberFormat="1" applyFont="1" applyBorder="1"/>
    <xf numFmtId="0" fontId="4" fillId="2" borderId="3" xfId="0" applyFont="1" applyFill="1" applyBorder="1"/>
    <xf numFmtId="0" fontId="5" fillId="2" borderId="6" xfId="0" applyFont="1" applyFill="1" applyBorder="1" applyAlignment="1">
      <alignment horizontal="left"/>
    </xf>
    <xf numFmtId="0" fontId="6" fillId="0" borderId="6" xfId="0" applyFont="1" applyBorder="1"/>
    <xf numFmtId="0" fontId="7" fillId="2" borderId="3" xfId="0" applyFont="1" applyFill="1" applyBorder="1"/>
    <xf numFmtId="0" fontId="6" fillId="0" borderId="0" xfId="0" applyFont="1"/>
    <xf numFmtId="49" fontId="4" fillId="0" borderId="0" xfId="0" applyNumberFormat="1" applyFont="1"/>
    <xf numFmtId="0" fontId="6" fillId="0" borderId="0" xfId="0" quotePrefix="1" applyFont="1"/>
    <xf numFmtId="0" fontId="6" fillId="4" borderId="3" xfId="0" applyFont="1" applyFill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14" fontId="6" fillId="0" borderId="6" xfId="0" applyNumberFormat="1" applyFont="1" applyBorder="1"/>
    <xf numFmtId="0" fontId="8" fillId="0" borderId="0" xfId="0" applyFont="1"/>
    <xf numFmtId="0" fontId="7" fillId="4" borderId="3" xfId="0" applyFont="1" applyFill="1" applyBorder="1"/>
    <xf numFmtId="164" fontId="7" fillId="4" borderId="3" xfId="0" applyNumberFormat="1" applyFont="1" applyFill="1" applyBorder="1"/>
    <xf numFmtId="0" fontId="2" fillId="0" borderId="0" xfId="0" applyFont="1"/>
    <xf numFmtId="164" fontId="6" fillId="0" borderId="6" xfId="0" applyNumberFormat="1" applyFont="1" applyBorder="1"/>
    <xf numFmtId="164" fontId="4" fillId="5" borderId="3" xfId="0" applyNumberFormat="1" applyFont="1" applyFill="1" applyBorder="1"/>
    <xf numFmtId="0" fontId="4" fillId="5" borderId="3" xfId="0" applyFont="1" applyFill="1" applyBorder="1"/>
    <xf numFmtId="0" fontId="6" fillId="0" borderId="7" xfId="0" applyFont="1" applyBorder="1"/>
    <xf numFmtId="0" fontId="10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jaypatel@sample.com" TargetMode="External"/><Relationship Id="rId13" Type="http://schemas.openxmlformats.org/officeDocument/2006/relationships/hyperlink" Target="mailto:rahul-verma@sample.com" TargetMode="External"/><Relationship Id="rId18" Type="http://schemas.openxmlformats.org/officeDocument/2006/relationships/hyperlink" Target="mailto:ajay-patel@sample.com" TargetMode="External"/><Relationship Id="rId3" Type="http://schemas.openxmlformats.org/officeDocument/2006/relationships/hyperlink" Target="mailto:rahulverma@sample.com" TargetMode="External"/><Relationship Id="rId7" Type="http://schemas.openxmlformats.org/officeDocument/2006/relationships/hyperlink" Target="mailto:ranigupta@sample.com" TargetMode="External"/><Relationship Id="rId12" Type="http://schemas.openxmlformats.org/officeDocument/2006/relationships/hyperlink" Target="mailto:priya-sharma@sample.com" TargetMode="External"/><Relationship Id="rId17" Type="http://schemas.openxmlformats.org/officeDocument/2006/relationships/hyperlink" Target="mailto:rani-gupta@sample.com" TargetMode="External"/><Relationship Id="rId2" Type="http://schemas.openxmlformats.org/officeDocument/2006/relationships/hyperlink" Target="mailto:priyasharma@sample.com" TargetMode="External"/><Relationship Id="rId16" Type="http://schemas.openxmlformats.org/officeDocument/2006/relationships/hyperlink" Target="mailto:kavita-rao@sample.com" TargetMode="External"/><Relationship Id="rId20" Type="http://schemas.openxmlformats.org/officeDocument/2006/relationships/hyperlink" Target="mailto:neha-bhatt@sample.com" TargetMode="External"/><Relationship Id="rId1" Type="http://schemas.openxmlformats.org/officeDocument/2006/relationships/hyperlink" Target="mailto:apkapoor@sample.com" TargetMode="External"/><Relationship Id="rId6" Type="http://schemas.openxmlformats.org/officeDocument/2006/relationships/hyperlink" Target="mailto:kavitarao@sample.com" TargetMode="External"/><Relationship Id="rId11" Type="http://schemas.openxmlformats.org/officeDocument/2006/relationships/hyperlink" Target="mailto:ap-kapoor@sample.com" TargetMode="External"/><Relationship Id="rId5" Type="http://schemas.openxmlformats.org/officeDocument/2006/relationships/hyperlink" Target="mailto:sureshkumar@sample.com" TargetMode="External"/><Relationship Id="rId15" Type="http://schemas.openxmlformats.org/officeDocument/2006/relationships/hyperlink" Target="mailto:suresh-kumar@sample.com" TargetMode="External"/><Relationship Id="rId10" Type="http://schemas.openxmlformats.org/officeDocument/2006/relationships/hyperlink" Target="mailto:nehabhatt@sample.com" TargetMode="External"/><Relationship Id="rId19" Type="http://schemas.openxmlformats.org/officeDocument/2006/relationships/hyperlink" Target="mailto:vijay-singh@sample.com" TargetMode="External"/><Relationship Id="rId4" Type="http://schemas.openxmlformats.org/officeDocument/2006/relationships/hyperlink" Target="mailto:deepamehta@sample.com" TargetMode="External"/><Relationship Id="rId9" Type="http://schemas.openxmlformats.org/officeDocument/2006/relationships/hyperlink" Target="mailto:vijaysingh@sample.com" TargetMode="External"/><Relationship Id="rId14" Type="http://schemas.openxmlformats.org/officeDocument/2006/relationships/hyperlink" Target="mailto:deepa-mehta@s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showGridLines="0" topLeftCell="F1" workbookViewId="0">
      <selection activeCell="F17" sqref="F17"/>
    </sheetView>
  </sheetViews>
  <sheetFormatPr defaultColWidth="14.44140625" defaultRowHeight="15" customHeight="1"/>
  <cols>
    <col min="1" max="1" width="16" customWidth="1"/>
    <col min="2" max="2" width="9.6640625" customWidth="1"/>
    <col min="3" max="3" width="18.109375" customWidth="1"/>
    <col min="4" max="4" width="17.109375" customWidth="1"/>
    <col min="5" max="5" width="24.109375" customWidth="1"/>
    <col min="6" max="7" width="24.6640625" customWidth="1"/>
    <col min="8" max="8" width="8.6640625" customWidth="1"/>
    <col min="9" max="9" width="9.5546875" customWidth="1"/>
    <col min="10" max="10" width="14.88671875" customWidth="1"/>
    <col min="11" max="11" width="11" customWidth="1"/>
    <col min="12" max="12" width="10" customWidth="1"/>
    <col min="13" max="13" width="8.6640625" customWidth="1"/>
    <col min="14" max="14" width="11.33203125" customWidth="1"/>
    <col min="15" max="15" width="10.44140625" customWidth="1"/>
    <col min="16" max="16" width="10.6640625" customWidth="1"/>
    <col min="17" max="18" width="8.6640625" customWidth="1"/>
    <col min="19" max="19" width="10.6640625" customWidth="1"/>
    <col min="20" max="20" width="11.109375" customWidth="1"/>
    <col min="21" max="26" width="8.6640625" customWidth="1"/>
  </cols>
  <sheetData>
    <row r="1" spans="1:22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4" t="s">
        <v>12</v>
      </c>
      <c r="P1" s="3" t="s">
        <v>13</v>
      </c>
    </row>
    <row r="2" spans="1:22" ht="14.25" customHeight="1">
      <c r="A2" s="5" t="s">
        <v>14</v>
      </c>
      <c r="B2" s="6" t="s">
        <v>15</v>
      </c>
      <c r="C2" t="s">
        <v>83</v>
      </c>
      <c r="D2" t="s">
        <v>233</v>
      </c>
      <c r="E2" s="29" t="s">
        <v>243</v>
      </c>
      <c r="F2" s="29" t="s">
        <v>253</v>
      </c>
      <c r="G2" s="7"/>
      <c r="I2" s="8">
        <v>7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9">
        <v>4500</v>
      </c>
      <c r="P2" s="8" t="s">
        <v>162</v>
      </c>
    </row>
    <row r="3" spans="1:22" ht="14.25" customHeight="1">
      <c r="A3" s="5" t="s">
        <v>21</v>
      </c>
      <c r="B3" s="6" t="s">
        <v>22</v>
      </c>
      <c r="C3" t="s">
        <v>85</v>
      </c>
      <c r="D3" t="s">
        <v>234</v>
      </c>
      <c r="E3" s="29" t="s">
        <v>244</v>
      </c>
      <c r="F3" s="29" t="s">
        <v>254</v>
      </c>
      <c r="G3" s="7"/>
      <c r="I3" s="8">
        <v>15</v>
      </c>
      <c r="J3" s="8" t="s">
        <v>23</v>
      </c>
      <c r="K3" s="8" t="s">
        <v>24</v>
      </c>
      <c r="L3" s="8" t="s">
        <v>25</v>
      </c>
      <c r="M3" s="8" t="s">
        <v>26</v>
      </c>
      <c r="N3" s="8" t="s">
        <v>20</v>
      </c>
      <c r="O3" s="9">
        <v>4500</v>
      </c>
      <c r="P3" s="8" t="s">
        <v>163</v>
      </c>
    </row>
    <row r="4" spans="1:22" ht="14.25" customHeight="1">
      <c r="A4" s="5" t="s">
        <v>27</v>
      </c>
      <c r="B4" s="6" t="s">
        <v>28</v>
      </c>
      <c r="C4" t="s">
        <v>88</v>
      </c>
      <c r="D4" t="s">
        <v>235</v>
      </c>
      <c r="E4" s="29" t="s">
        <v>245</v>
      </c>
      <c r="F4" s="29" t="s">
        <v>255</v>
      </c>
      <c r="G4" s="7"/>
      <c r="I4" s="8">
        <v>9</v>
      </c>
      <c r="J4" s="8" t="s">
        <v>29</v>
      </c>
      <c r="K4" s="8" t="s">
        <v>30</v>
      </c>
      <c r="L4" s="8" t="s">
        <v>31</v>
      </c>
      <c r="M4" s="8" t="s">
        <v>32</v>
      </c>
      <c r="N4" s="8" t="s">
        <v>33</v>
      </c>
      <c r="O4" s="9">
        <v>6250</v>
      </c>
      <c r="P4" s="8" t="s">
        <v>164</v>
      </c>
    </row>
    <row r="5" spans="1:22" ht="14.25" customHeight="1">
      <c r="A5" s="5" t="s">
        <v>34</v>
      </c>
      <c r="B5" s="6" t="s">
        <v>35</v>
      </c>
      <c r="C5" t="s">
        <v>92</v>
      </c>
      <c r="D5" t="s">
        <v>236</v>
      </c>
      <c r="E5" s="29" t="s">
        <v>246</v>
      </c>
      <c r="F5" s="29" t="s">
        <v>256</v>
      </c>
      <c r="G5" s="7"/>
      <c r="I5" s="8">
        <v>17</v>
      </c>
      <c r="J5" s="8" t="s">
        <v>36</v>
      </c>
      <c r="K5" s="8" t="s">
        <v>37</v>
      </c>
      <c r="L5" s="8" t="s">
        <v>31</v>
      </c>
      <c r="M5" s="8" t="s">
        <v>32</v>
      </c>
      <c r="N5" s="8" t="s">
        <v>38</v>
      </c>
      <c r="O5" s="9">
        <v>6250</v>
      </c>
      <c r="P5" s="8" t="s">
        <v>165</v>
      </c>
      <c r="T5" s="10" t="s">
        <v>39</v>
      </c>
      <c r="U5" s="8" t="s">
        <v>182</v>
      </c>
      <c r="V5" s="8">
        <v>2045</v>
      </c>
    </row>
    <row r="6" spans="1:22" ht="14.25" customHeight="1">
      <c r="A6" s="5" t="s">
        <v>40</v>
      </c>
      <c r="B6" s="6" t="s">
        <v>41</v>
      </c>
      <c r="C6" t="s">
        <v>95</v>
      </c>
      <c r="D6" t="s">
        <v>237</v>
      </c>
      <c r="E6" s="29" t="s">
        <v>247</v>
      </c>
      <c r="F6" s="29" t="s">
        <v>257</v>
      </c>
      <c r="G6" s="7"/>
      <c r="I6" s="8">
        <v>8</v>
      </c>
      <c r="J6" s="8" t="s">
        <v>42</v>
      </c>
      <c r="K6" s="8" t="s">
        <v>43</v>
      </c>
      <c r="L6" s="8" t="s">
        <v>18</v>
      </c>
      <c r="M6" s="8" t="s">
        <v>19</v>
      </c>
      <c r="N6" s="8" t="s">
        <v>44</v>
      </c>
      <c r="O6" s="9">
        <v>6275</v>
      </c>
      <c r="P6" s="8" t="s">
        <v>166</v>
      </c>
      <c r="T6" s="10" t="s">
        <v>45</v>
      </c>
      <c r="U6" s="8" t="s">
        <v>183</v>
      </c>
      <c r="V6" s="8">
        <v>2045</v>
      </c>
    </row>
    <row r="7" spans="1:22" ht="14.25" customHeight="1">
      <c r="A7" s="5" t="s">
        <v>46</v>
      </c>
      <c r="B7" s="6" t="s">
        <v>47</v>
      </c>
      <c r="C7" t="s">
        <v>99</v>
      </c>
      <c r="D7" t="s">
        <v>238</v>
      </c>
      <c r="E7" s="29" t="s">
        <v>248</v>
      </c>
      <c r="F7" s="29" t="s">
        <v>258</v>
      </c>
      <c r="G7" s="7"/>
      <c r="I7" s="8">
        <v>16</v>
      </c>
      <c r="J7" s="8" t="s">
        <v>48</v>
      </c>
      <c r="K7" s="8"/>
      <c r="L7" s="8" t="s">
        <v>49</v>
      </c>
      <c r="M7" s="8" t="s">
        <v>50</v>
      </c>
      <c r="N7" s="8" t="s">
        <v>44</v>
      </c>
      <c r="O7" s="9">
        <v>6275</v>
      </c>
      <c r="P7" s="8" t="s">
        <v>167</v>
      </c>
      <c r="T7" s="10" t="s">
        <v>51</v>
      </c>
      <c r="U7" s="8" t="s">
        <v>182</v>
      </c>
      <c r="V7" s="8">
        <v>2046</v>
      </c>
    </row>
    <row r="8" spans="1:22" ht="14.25" customHeight="1">
      <c r="A8" s="5" t="s">
        <v>52</v>
      </c>
      <c r="B8" s="6" t="s">
        <v>53</v>
      </c>
      <c r="C8" t="s">
        <v>101</v>
      </c>
      <c r="D8" t="s">
        <v>239</v>
      </c>
      <c r="E8" s="29" t="s">
        <v>249</v>
      </c>
      <c r="F8" s="29" t="s">
        <v>259</v>
      </c>
      <c r="G8" s="7"/>
      <c r="I8" s="8">
        <v>6</v>
      </c>
      <c r="J8" s="8" t="s">
        <v>54</v>
      </c>
      <c r="K8" s="8" t="s">
        <v>55</v>
      </c>
      <c r="L8" s="8" t="s">
        <v>56</v>
      </c>
      <c r="M8" s="8" t="s">
        <v>19</v>
      </c>
      <c r="N8" s="8" t="s">
        <v>57</v>
      </c>
      <c r="O8" s="9">
        <v>6400</v>
      </c>
      <c r="P8" s="8" t="s">
        <v>168</v>
      </c>
      <c r="T8" s="10" t="s">
        <v>58</v>
      </c>
      <c r="U8" s="8" t="s">
        <v>183</v>
      </c>
      <c r="V8" s="8">
        <v>2046</v>
      </c>
    </row>
    <row r="9" spans="1:22" ht="14.25" customHeight="1">
      <c r="A9" s="5" t="s">
        <v>59</v>
      </c>
      <c r="B9" s="6" t="s">
        <v>60</v>
      </c>
      <c r="C9" t="s">
        <v>104</v>
      </c>
      <c r="D9" t="s">
        <v>240</v>
      </c>
      <c r="E9" s="29" t="s">
        <v>250</v>
      </c>
      <c r="F9" s="29" t="s">
        <v>260</v>
      </c>
      <c r="G9" s="7"/>
      <c r="I9" s="8">
        <v>14</v>
      </c>
      <c r="J9" s="8" t="s">
        <v>61</v>
      </c>
      <c r="K9" s="8" t="s">
        <v>62</v>
      </c>
      <c r="L9" s="8" t="s">
        <v>49</v>
      </c>
      <c r="M9" s="8" t="s">
        <v>50</v>
      </c>
      <c r="N9" s="8" t="s">
        <v>57</v>
      </c>
      <c r="O9" s="9">
        <v>6400</v>
      </c>
      <c r="P9" s="8" t="s">
        <v>169</v>
      </c>
      <c r="T9" s="10" t="s">
        <v>63</v>
      </c>
      <c r="U9" s="8" t="s">
        <v>182</v>
      </c>
      <c r="V9" s="8">
        <v>2047</v>
      </c>
    </row>
    <row r="10" spans="1:22" ht="14.25" customHeight="1">
      <c r="A10" s="5" t="s">
        <v>64</v>
      </c>
      <c r="B10" s="6" t="s">
        <v>65</v>
      </c>
      <c r="C10" t="s">
        <v>105</v>
      </c>
      <c r="D10" t="s">
        <v>241</v>
      </c>
      <c r="E10" s="29" t="s">
        <v>251</v>
      </c>
      <c r="F10" s="29" t="s">
        <v>261</v>
      </c>
      <c r="G10" s="7"/>
      <c r="I10" s="8">
        <v>10</v>
      </c>
      <c r="J10" s="8" t="s">
        <v>66</v>
      </c>
      <c r="K10" s="8"/>
      <c r="L10" s="8" t="s">
        <v>67</v>
      </c>
      <c r="M10" s="8" t="s">
        <v>50</v>
      </c>
      <c r="N10" s="8" t="s">
        <v>57</v>
      </c>
      <c r="O10" s="9">
        <v>8750</v>
      </c>
      <c r="P10" s="8" t="s">
        <v>170</v>
      </c>
      <c r="T10" s="10" t="s">
        <v>68</v>
      </c>
      <c r="U10" s="8" t="s">
        <v>183</v>
      </c>
      <c r="V10" s="8">
        <v>2047</v>
      </c>
    </row>
    <row r="11" spans="1:22" ht="14.25" customHeight="1">
      <c r="A11" s="5" t="s">
        <v>69</v>
      </c>
      <c r="B11" s="6" t="s">
        <v>70</v>
      </c>
      <c r="C11" t="s">
        <v>106</v>
      </c>
      <c r="D11" t="s">
        <v>242</v>
      </c>
      <c r="E11" s="29" t="s">
        <v>252</v>
      </c>
      <c r="F11" s="29" t="s">
        <v>262</v>
      </c>
      <c r="G11" s="7"/>
      <c r="I11" s="8">
        <v>18</v>
      </c>
      <c r="J11" s="8" t="s">
        <v>71</v>
      </c>
      <c r="K11" s="8" t="s">
        <v>72</v>
      </c>
      <c r="L11" s="8" t="s">
        <v>31</v>
      </c>
      <c r="M11" s="8" t="s">
        <v>32</v>
      </c>
      <c r="N11" s="8" t="s">
        <v>44</v>
      </c>
      <c r="O11" s="9">
        <v>8750</v>
      </c>
      <c r="P11" s="8" t="s">
        <v>171</v>
      </c>
      <c r="T11" s="10" t="s">
        <v>73</v>
      </c>
      <c r="U11" s="8" t="s">
        <v>182</v>
      </c>
      <c r="V11" s="8">
        <v>2048</v>
      </c>
    </row>
    <row r="12" spans="1:22" ht="14.25" customHeight="1">
      <c r="I12" s="8">
        <v>1</v>
      </c>
      <c r="J12" s="8" t="s">
        <v>74</v>
      </c>
      <c r="K12" s="8" t="s">
        <v>75</v>
      </c>
      <c r="L12" s="8" t="s">
        <v>31</v>
      </c>
      <c r="M12" s="8" t="s">
        <v>32</v>
      </c>
      <c r="N12" s="8" t="s">
        <v>33</v>
      </c>
      <c r="O12" s="9">
        <v>10000</v>
      </c>
      <c r="P12" s="8" t="s">
        <v>172</v>
      </c>
      <c r="T12" s="10" t="s">
        <v>76</v>
      </c>
      <c r="U12" s="8" t="s">
        <v>183</v>
      </c>
      <c r="V12" s="8">
        <v>2048</v>
      </c>
    </row>
    <row r="13" spans="1:22" ht="14.25" customHeight="1">
      <c r="I13" s="8">
        <v>12</v>
      </c>
      <c r="J13" s="8" t="s">
        <v>77</v>
      </c>
      <c r="K13" s="8" t="s">
        <v>78</v>
      </c>
      <c r="L13" s="8" t="s">
        <v>49</v>
      </c>
      <c r="M13" s="8" t="s">
        <v>50</v>
      </c>
      <c r="N13" s="8" t="s">
        <v>44</v>
      </c>
      <c r="O13" s="9">
        <v>10000</v>
      </c>
      <c r="P13" s="8" t="s">
        <v>173</v>
      </c>
      <c r="T13" s="10" t="s">
        <v>79</v>
      </c>
      <c r="U13" s="8" t="s">
        <v>182</v>
      </c>
      <c r="V13" s="8">
        <v>2049</v>
      </c>
    </row>
    <row r="14" spans="1:22" ht="14.25" customHeight="1">
      <c r="A14" s="11" t="s">
        <v>7</v>
      </c>
      <c r="B14" s="11" t="s">
        <v>0</v>
      </c>
      <c r="C14" s="11" t="s">
        <v>1</v>
      </c>
      <c r="I14" s="8">
        <v>20</v>
      </c>
      <c r="J14" s="8" t="s">
        <v>80</v>
      </c>
      <c r="K14" s="8" t="s">
        <v>81</v>
      </c>
      <c r="L14" s="8" t="s">
        <v>82</v>
      </c>
      <c r="M14" s="8" t="s">
        <v>26</v>
      </c>
      <c r="N14" s="8" t="s">
        <v>33</v>
      </c>
      <c r="O14" s="9">
        <v>10000</v>
      </c>
      <c r="P14" s="8" t="s">
        <v>174</v>
      </c>
      <c r="T14" s="10" t="s">
        <v>51</v>
      </c>
      <c r="U14" s="8" t="s">
        <v>182</v>
      </c>
      <c r="V14" s="8">
        <v>2046</v>
      </c>
    </row>
    <row r="15" spans="1:22" ht="14.25" customHeight="1">
      <c r="A15" s="12" t="s">
        <v>83</v>
      </c>
      <c r="B15" s="8" t="s">
        <v>14</v>
      </c>
      <c r="C15" s="8" t="s">
        <v>15</v>
      </c>
      <c r="I15" s="8">
        <v>3</v>
      </c>
      <c r="J15" s="8" t="s">
        <v>84</v>
      </c>
      <c r="K15" s="8" t="s">
        <v>62</v>
      </c>
      <c r="L15" s="8" t="s">
        <v>25</v>
      </c>
      <c r="M15" s="8" t="s">
        <v>26</v>
      </c>
      <c r="N15" s="8" t="s">
        <v>20</v>
      </c>
      <c r="O15" s="9">
        <v>11250</v>
      </c>
      <c r="P15" s="8" t="s">
        <v>175</v>
      </c>
      <c r="T15" s="10" t="s">
        <v>51</v>
      </c>
      <c r="U15" s="8" t="s">
        <v>182</v>
      </c>
      <c r="V15" s="8">
        <v>2046</v>
      </c>
    </row>
    <row r="16" spans="1:22" ht="14.25" customHeight="1">
      <c r="A16" s="12" t="s">
        <v>85</v>
      </c>
      <c r="B16" s="8" t="s">
        <v>21</v>
      </c>
      <c r="C16" s="8" t="s">
        <v>22</v>
      </c>
      <c r="I16" s="8">
        <v>11</v>
      </c>
      <c r="J16" s="8" t="s">
        <v>86</v>
      </c>
      <c r="K16" s="8" t="s">
        <v>87</v>
      </c>
      <c r="L16" s="8" t="s">
        <v>67</v>
      </c>
      <c r="M16" s="8" t="s">
        <v>50</v>
      </c>
      <c r="N16" s="8" t="s">
        <v>20</v>
      </c>
      <c r="O16" s="9">
        <v>11250</v>
      </c>
      <c r="P16" s="8" t="s">
        <v>176</v>
      </c>
    </row>
    <row r="17" spans="1:16" ht="14.25" customHeight="1">
      <c r="A17" s="12" t="s">
        <v>88</v>
      </c>
      <c r="B17" s="8" t="s">
        <v>27</v>
      </c>
      <c r="C17" s="8" t="s">
        <v>28</v>
      </c>
      <c r="I17" s="8">
        <v>19</v>
      </c>
      <c r="J17" s="8" t="s">
        <v>89</v>
      </c>
      <c r="K17" s="8" t="s">
        <v>90</v>
      </c>
      <c r="L17" s="8" t="s">
        <v>91</v>
      </c>
      <c r="M17" s="8" t="s">
        <v>32</v>
      </c>
      <c r="N17" s="8" t="s">
        <v>38</v>
      </c>
      <c r="O17" s="9">
        <v>11250</v>
      </c>
      <c r="P17" s="8" t="s">
        <v>177</v>
      </c>
    </row>
    <row r="18" spans="1:16" ht="14.25" customHeight="1">
      <c r="A18" s="12" t="s">
        <v>92</v>
      </c>
      <c r="B18" s="8" t="s">
        <v>34</v>
      </c>
      <c r="C18" s="8" t="s">
        <v>35</v>
      </c>
      <c r="I18" s="8">
        <v>2</v>
      </c>
      <c r="J18" s="8" t="s">
        <v>93</v>
      </c>
      <c r="K18" s="8" t="s">
        <v>94</v>
      </c>
      <c r="L18" s="8" t="s">
        <v>25</v>
      </c>
      <c r="M18" s="8" t="s">
        <v>26</v>
      </c>
      <c r="N18" s="8" t="s">
        <v>57</v>
      </c>
      <c r="O18" s="9">
        <v>12000</v>
      </c>
      <c r="P18" s="8" t="s">
        <v>178</v>
      </c>
    </row>
    <row r="19" spans="1:16" ht="14.25" customHeight="1">
      <c r="A19" s="12" t="s">
        <v>95</v>
      </c>
      <c r="B19" s="8" t="s">
        <v>40</v>
      </c>
      <c r="C19" s="8" t="s">
        <v>41</v>
      </c>
      <c r="I19" s="8">
        <v>4</v>
      </c>
      <c r="J19" s="8" t="s">
        <v>96</v>
      </c>
      <c r="K19" s="8" t="s">
        <v>97</v>
      </c>
      <c r="L19" s="8" t="s">
        <v>98</v>
      </c>
      <c r="M19" s="8" t="s">
        <v>50</v>
      </c>
      <c r="N19" s="8" t="s">
        <v>44</v>
      </c>
      <c r="O19" s="9">
        <v>12000</v>
      </c>
      <c r="P19" s="8" t="s">
        <v>179</v>
      </c>
    </row>
    <row r="20" spans="1:16" ht="14.25" customHeight="1">
      <c r="A20" s="12" t="s">
        <v>99</v>
      </c>
      <c r="B20" s="8" t="s">
        <v>46</v>
      </c>
      <c r="C20" s="8" t="s">
        <v>47</v>
      </c>
      <c r="I20" s="8">
        <v>5</v>
      </c>
      <c r="J20" s="8" t="s">
        <v>100</v>
      </c>
      <c r="K20" s="8"/>
      <c r="L20" s="8" t="s">
        <v>25</v>
      </c>
      <c r="M20" s="8" t="s">
        <v>26</v>
      </c>
      <c r="N20" s="8" t="s">
        <v>33</v>
      </c>
      <c r="O20" s="9">
        <v>16250</v>
      </c>
      <c r="P20" s="8" t="s">
        <v>180</v>
      </c>
    </row>
    <row r="21" spans="1:16" ht="14.25" customHeight="1">
      <c r="A21" s="12" t="s">
        <v>101</v>
      </c>
      <c r="B21" s="8" t="s">
        <v>52</v>
      </c>
      <c r="C21" s="8" t="s">
        <v>53</v>
      </c>
      <c r="I21" s="8">
        <v>13</v>
      </c>
      <c r="J21" s="8" t="s">
        <v>102</v>
      </c>
      <c r="K21" s="8" t="s">
        <v>94</v>
      </c>
      <c r="L21" s="8" t="s">
        <v>103</v>
      </c>
      <c r="M21" s="8" t="s">
        <v>50</v>
      </c>
      <c r="N21" s="8" t="s">
        <v>33</v>
      </c>
      <c r="O21" s="9">
        <v>16250</v>
      </c>
      <c r="P21" s="8" t="s">
        <v>181</v>
      </c>
    </row>
    <row r="22" spans="1:16" ht="14.25" customHeight="1">
      <c r="A22" s="12" t="s">
        <v>104</v>
      </c>
      <c r="B22" s="8" t="s">
        <v>59</v>
      </c>
      <c r="C22" s="8" t="s">
        <v>60</v>
      </c>
    </row>
    <row r="23" spans="1:16" ht="14.25" customHeight="1">
      <c r="A23" s="12" t="s">
        <v>105</v>
      </c>
      <c r="B23" s="8" t="s">
        <v>64</v>
      </c>
      <c r="C23" s="8" t="s">
        <v>65</v>
      </c>
    </row>
    <row r="24" spans="1:16" ht="14.25" customHeight="1">
      <c r="A24" s="12" t="s">
        <v>106</v>
      </c>
      <c r="B24" s="8" t="s">
        <v>69</v>
      </c>
      <c r="C24" s="8" t="s">
        <v>70</v>
      </c>
    </row>
    <row r="25" spans="1:16" ht="14.25" customHeight="1"/>
    <row r="26" spans="1:16" ht="14.25" customHeight="1"/>
    <row r="27" spans="1:16" ht="14.25" customHeight="1"/>
    <row r="28" spans="1:16" ht="14.25" customHeight="1"/>
    <row r="29" spans="1:16" ht="14.25" customHeight="1"/>
    <row r="30" spans="1:16" ht="14.25" customHeight="1"/>
    <row r="31" spans="1:16" ht="14.25" customHeight="1"/>
    <row r="32" spans="1:1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9" type="noConversion"/>
  <dataValidations count="3">
    <dataValidation type="custom" allowBlank="1" showErrorMessage="1" sqref="O1" xr:uid="{00000000-0002-0000-0000-000000000000}">
      <formula1>ISNUMBER(O2)</formula1>
    </dataValidation>
    <dataValidation type="custom" allowBlank="1" showErrorMessage="1" sqref="A1:A11 J1:J21" xr:uid="{00000000-0002-0000-0000-000001000000}">
      <formula1>ISTEXT(A1)</formula1>
    </dataValidation>
    <dataValidation type="custom" allowBlank="1" showErrorMessage="1" sqref="O2:O21" xr:uid="{00000000-0002-0000-0000-000002000000}">
      <formula1>ISNUMBER(O2)</formula1>
    </dataValidation>
  </dataValidations>
  <hyperlinks>
    <hyperlink ref="E2" r:id="rId1" xr:uid="{6C626153-F3A6-41D1-A9C1-D591926A99CC}"/>
    <hyperlink ref="E3" r:id="rId2" xr:uid="{63C7B1CC-97B5-45F5-8758-90FCD7E669F0}"/>
    <hyperlink ref="E4" r:id="rId3" xr:uid="{8C7FAABF-DE8B-444C-953E-749B8826B1B6}"/>
    <hyperlink ref="E5" r:id="rId4" xr:uid="{A2A5811C-C04B-465B-A2D8-5D78CC0665B5}"/>
    <hyperlink ref="E6" r:id="rId5" xr:uid="{C04F420A-FA91-4740-80F8-F8800C03235D}"/>
    <hyperlink ref="E7" r:id="rId6" xr:uid="{91080409-23BE-4703-B156-9458CE0166D0}"/>
    <hyperlink ref="E8" r:id="rId7" xr:uid="{741873E9-F070-4FA8-93AD-9A37EEF220A2}"/>
    <hyperlink ref="E9" r:id="rId8" xr:uid="{D42C87BF-D9AE-4CBE-8234-14403E0D69DE}"/>
    <hyperlink ref="E10" r:id="rId9" xr:uid="{77AE6F4C-974A-4C67-88BC-A0F69D7359CA}"/>
    <hyperlink ref="E11" r:id="rId10" xr:uid="{E8E51005-216B-408E-8893-007F894EA4C5}"/>
    <hyperlink ref="F2" r:id="rId11" xr:uid="{75B5EB6A-C593-4C05-BE6D-3603B3FBCDBF}"/>
    <hyperlink ref="F3" r:id="rId12" xr:uid="{A3C06002-2A88-4550-B501-C0875C7F75C1}"/>
    <hyperlink ref="F4" r:id="rId13" xr:uid="{6FF432C7-FC50-4629-993E-E957671B9994}"/>
    <hyperlink ref="F5" r:id="rId14" xr:uid="{D591FED0-8057-40C3-8C89-C2FD527D4AB6}"/>
    <hyperlink ref="F6" r:id="rId15" xr:uid="{A530CFAC-520B-4097-8C7E-B225A0C0E5F4}"/>
    <hyperlink ref="F7" r:id="rId16" xr:uid="{D8EAA2C5-B1D9-4C42-850C-F2101A644E7F}"/>
    <hyperlink ref="F8" r:id="rId17" xr:uid="{8A276376-BE5B-4E12-8E52-AB9F2478A187}"/>
    <hyperlink ref="F9" r:id="rId18" xr:uid="{70C62639-3B31-4F5E-A312-1975E2B02D52}"/>
    <hyperlink ref="F10" r:id="rId19" xr:uid="{13EE3611-A873-41D4-AF63-8E4CD9E907A1}"/>
    <hyperlink ref="F11" r:id="rId20" xr:uid="{F5BE8866-20DB-4E04-BBD2-F2827AC00618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topLeftCell="A23" zoomScale="143" workbookViewId="0">
      <selection activeCell="A16" sqref="A16:A26"/>
    </sheetView>
  </sheetViews>
  <sheetFormatPr defaultColWidth="14.44140625" defaultRowHeight="15" customHeight="1"/>
  <cols>
    <col min="1" max="1" width="16" customWidth="1"/>
    <col min="2" max="4" width="8.6640625" customWidth="1"/>
    <col min="5" max="5" width="12.5546875" customWidth="1"/>
    <col min="6" max="6" width="16.109375" customWidth="1"/>
    <col min="7" max="26" width="8.6640625" customWidth="1"/>
  </cols>
  <sheetData>
    <row r="1" spans="1:9" ht="14.25" customHeight="1">
      <c r="A1" s="13" t="s">
        <v>107</v>
      </c>
      <c r="B1" t="s">
        <v>107</v>
      </c>
      <c r="F1" s="13" t="s">
        <v>7</v>
      </c>
    </row>
    <row r="2" spans="1:9" ht="14.25" customHeight="1">
      <c r="A2" s="14" t="s">
        <v>108</v>
      </c>
      <c r="B2" s="15" t="s">
        <v>184</v>
      </c>
      <c r="C2" s="15">
        <v>5</v>
      </c>
      <c r="D2" s="15" t="s">
        <v>185</v>
      </c>
      <c r="E2" s="15">
        <v>8562</v>
      </c>
      <c r="F2" s="14" t="s">
        <v>74</v>
      </c>
      <c r="G2" t="s">
        <v>202</v>
      </c>
      <c r="H2" t="s">
        <v>41</v>
      </c>
    </row>
    <row r="3" spans="1:9" ht="14.25" customHeight="1">
      <c r="A3" s="14" t="s">
        <v>109</v>
      </c>
      <c r="B3" s="15" t="s">
        <v>186</v>
      </c>
      <c r="C3" s="15">
        <v>5</v>
      </c>
      <c r="D3" s="15" t="s">
        <v>14</v>
      </c>
      <c r="E3" s="15">
        <v>9845</v>
      </c>
      <c r="F3" s="14" t="s">
        <v>110</v>
      </c>
      <c r="G3" t="s">
        <v>203</v>
      </c>
      <c r="H3" t="s">
        <v>204</v>
      </c>
    </row>
    <row r="4" spans="1:9" ht="14.25" customHeight="1">
      <c r="A4" s="14" t="s">
        <v>111</v>
      </c>
      <c r="B4" s="15" t="s">
        <v>187</v>
      </c>
      <c r="C4" s="15">
        <v>10</v>
      </c>
      <c r="D4" s="15" t="s">
        <v>188</v>
      </c>
      <c r="E4" s="15">
        <v>9878</v>
      </c>
      <c r="F4" s="14" t="s">
        <v>112</v>
      </c>
      <c r="G4" t="s">
        <v>21</v>
      </c>
      <c r="H4" t="s">
        <v>217</v>
      </c>
    </row>
    <row r="5" spans="1:9" ht="14.25" customHeight="1">
      <c r="A5" s="14" t="s">
        <v>113</v>
      </c>
      <c r="B5" s="15" t="s">
        <v>14</v>
      </c>
      <c r="C5" s="15">
        <v>10</v>
      </c>
      <c r="D5" s="15" t="s">
        <v>189</v>
      </c>
      <c r="E5" s="15">
        <v>2378</v>
      </c>
      <c r="F5" s="14" t="s">
        <v>114</v>
      </c>
      <c r="G5" t="s">
        <v>205</v>
      </c>
      <c r="H5" t="s">
        <v>206</v>
      </c>
      <c r="I5" t="s">
        <v>207</v>
      </c>
    </row>
    <row r="6" spans="1:9" ht="14.25" customHeight="1">
      <c r="A6" s="14" t="s">
        <v>115</v>
      </c>
      <c r="B6" s="15" t="s">
        <v>190</v>
      </c>
      <c r="C6" s="15">
        <v>4</v>
      </c>
      <c r="D6" s="15" t="s">
        <v>191</v>
      </c>
      <c r="E6" s="15">
        <v>9567</v>
      </c>
      <c r="F6" s="16" t="s">
        <v>116</v>
      </c>
      <c r="G6" t="s">
        <v>208</v>
      </c>
      <c r="H6" t="s">
        <v>53</v>
      </c>
    </row>
    <row r="7" spans="1:9" ht="14.25" customHeight="1">
      <c r="A7" s="14" t="s">
        <v>117</v>
      </c>
      <c r="B7" s="15" t="s">
        <v>192</v>
      </c>
      <c r="C7" s="15">
        <v>7</v>
      </c>
      <c r="D7" s="15" t="s">
        <v>193</v>
      </c>
      <c r="E7" s="15">
        <v>8923</v>
      </c>
      <c r="F7" s="14" t="s">
        <v>118</v>
      </c>
      <c r="G7" t="s">
        <v>209</v>
      </c>
      <c r="H7" t="s">
        <v>210</v>
      </c>
    </row>
    <row r="8" spans="1:9" ht="14.25" customHeight="1">
      <c r="A8" s="14" t="s">
        <v>119</v>
      </c>
      <c r="B8" s="15" t="s">
        <v>194</v>
      </c>
      <c r="C8" s="15">
        <v>11</v>
      </c>
      <c r="D8" s="15" t="s">
        <v>195</v>
      </c>
      <c r="E8" s="15">
        <v>5679</v>
      </c>
      <c r="F8" s="14" t="s">
        <v>120</v>
      </c>
      <c r="G8" t="s">
        <v>211</v>
      </c>
      <c r="H8" t="s">
        <v>212</v>
      </c>
    </row>
    <row r="9" spans="1:9" ht="14.25" customHeight="1">
      <c r="A9" s="14" t="s">
        <v>121</v>
      </c>
      <c r="B9" s="15" t="s">
        <v>196</v>
      </c>
      <c r="C9" s="15">
        <v>9</v>
      </c>
      <c r="D9" s="15" t="s">
        <v>193</v>
      </c>
      <c r="E9" s="15">
        <v>7453</v>
      </c>
      <c r="F9" s="14" t="s">
        <v>122</v>
      </c>
      <c r="G9" t="s">
        <v>213</v>
      </c>
      <c r="H9" t="s">
        <v>214</v>
      </c>
    </row>
    <row r="10" spans="1:9" ht="14.25" customHeight="1">
      <c r="A10" s="14" t="s">
        <v>123</v>
      </c>
      <c r="B10" s="15" t="s">
        <v>197</v>
      </c>
      <c r="C10" s="15">
        <v>6</v>
      </c>
      <c r="D10" s="15" t="s">
        <v>198</v>
      </c>
      <c r="E10" s="15">
        <v>4598</v>
      </c>
      <c r="F10" s="14" t="s">
        <v>124</v>
      </c>
      <c r="G10" t="s">
        <v>215</v>
      </c>
      <c r="H10" t="s">
        <v>216</v>
      </c>
    </row>
    <row r="11" spans="1:9" ht="14.25" customHeight="1">
      <c r="A11" s="14" t="s">
        <v>125</v>
      </c>
      <c r="B11" s="15" t="s">
        <v>199</v>
      </c>
      <c r="C11" s="15">
        <v>3</v>
      </c>
      <c r="D11" s="15" t="s">
        <v>200</v>
      </c>
      <c r="E11" s="15">
        <v>8345</v>
      </c>
      <c r="F11" s="14" t="s">
        <v>126</v>
      </c>
      <c r="G11" t="s">
        <v>215</v>
      </c>
      <c r="H11" t="s">
        <v>15</v>
      </c>
    </row>
    <row r="12" spans="1:9" ht="14.25" customHeight="1">
      <c r="A12" s="14" t="s">
        <v>127</v>
      </c>
      <c r="B12" s="15" t="s">
        <v>201</v>
      </c>
      <c r="C12" s="15">
        <v>5</v>
      </c>
      <c r="D12" s="15" t="s">
        <v>14</v>
      </c>
      <c r="E12" s="15">
        <v>3456</v>
      </c>
      <c r="F12" s="14" t="s">
        <v>128</v>
      </c>
      <c r="G12" t="s">
        <v>59</v>
      </c>
      <c r="H12" t="s">
        <v>41</v>
      </c>
    </row>
    <row r="13" spans="1:9" ht="14.25" customHeight="1"/>
    <row r="14" spans="1:9" ht="14.25" customHeight="1"/>
    <row r="15" spans="1:9" ht="14.25" customHeight="1">
      <c r="A15" s="13" t="s">
        <v>107</v>
      </c>
    </row>
    <row r="16" spans="1:9" ht="14.25" customHeight="1">
      <c r="A16" s="14" t="s">
        <v>129</v>
      </c>
      <c r="B16" t="s">
        <v>184</v>
      </c>
      <c r="C16">
        <v>5</v>
      </c>
      <c r="D16" t="s">
        <v>185</v>
      </c>
      <c r="E16">
        <v>8562</v>
      </c>
    </row>
    <row r="17" spans="1:5" ht="14.25" customHeight="1">
      <c r="A17" s="14" t="s">
        <v>130</v>
      </c>
      <c r="B17" t="s">
        <v>186</v>
      </c>
      <c r="C17">
        <v>5</v>
      </c>
      <c r="D17" t="s">
        <v>14</v>
      </c>
      <c r="E17">
        <v>9845</v>
      </c>
    </row>
    <row r="18" spans="1:5" ht="14.25" customHeight="1">
      <c r="A18" s="14" t="s">
        <v>131</v>
      </c>
      <c r="B18" t="s">
        <v>187</v>
      </c>
      <c r="C18">
        <v>10</v>
      </c>
      <c r="D18" t="s">
        <v>188</v>
      </c>
      <c r="E18">
        <v>9878</v>
      </c>
    </row>
    <row r="19" spans="1:5" ht="14.25" customHeight="1">
      <c r="A19" s="14" t="s">
        <v>132</v>
      </c>
      <c r="B19" t="s">
        <v>14</v>
      </c>
      <c r="C19">
        <v>10</v>
      </c>
      <c r="D19" t="s">
        <v>189</v>
      </c>
      <c r="E19">
        <v>2378</v>
      </c>
    </row>
    <row r="20" spans="1:5" ht="14.25" customHeight="1">
      <c r="A20" s="14" t="s">
        <v>133</v>
      </c>
      <c r="B20" t="s">
        <v>190</v>
      </c>
      <c r="C20">
        <v>4</v>
      </c>
      <c r="D20" t="s">
        <v>191</v>
      </c>
      <c r="E20">
        <v>9567</v>
      </c>
    </row>
    <row r="21" spans="1:5" ht="14.25" customHeight="1">
      <c r="A21" s="14" t="s">
        <v>134</v>
      </c>
      <c r="B21" t="s">
        <v>192</v>
      </c>
      <c r="C21">
        <v>7</v>
      </c>
      <c r="D21" t="s">
        <v>193</v>
      </c>
      <c r="E21">
        <v>8923</v>
      </c>
    </row>
    <row r="22" spans="1:5" ht="14.25" customHeight="1">
      <c r="A22" s="14" t="s">
        <v>135</v>
      </c>
      <c r="B22" t="s">
        <v>194</v>
      </c>
      <c r="C22">
        <v>11</v>
      </c>
      <c r="D22" t="s">
        <v>195</v>
      </c>
      <c r="E22">
        <v>5679</v>
      </c>
    </row>
    <row r="23" spans="1:5" ht="14.25" customHeight="1">
      <c r="A23" s="14" t="s">
        <v>136</v>
      </c>
      <c r="B23" t="s">
        <v>196</v>
      </c>
      <c r="C23">
        <v>9</v>
      </c>
      <c r="D23" t="s">
        <v>193</v>
      </c>
      <c r="E23">
        <v>7453</v>
      </c>
    </row>
    <row r="24" spans="1:5" ht="14.25" customHeight="1">
      <c r="A24" s="14" t="s">
        <v>137</v>
      </c>
      <c r="B24" t="s">
        <v>197</v>
      </c>
      <c r="C24">
        <v>6</v>
      </c>
      <c r="D24" t="s">
        <v>198</v>
      </c>
      <c r="E24">
        <v>4598</v>
      </c>
    </row>
    <row r="25" spans="1:5" ht="14.25" customHeight="1">
      <c r="A25" s="14" t="s">
        <v>138</v>
      </c>
      <c r="B25" t="s">
        <v>199</v>
      </c>
      <c r="C25">
        <v>3</v>
      </c>
      <c r="D25" t="s">
        <v>200</v>
      </c>
      <c r="E25">
        <v>8345</v>
      </c>
    </row>
    <row r="26" spans="1:5" ht="14.25" customHeight="1">
      <c r="A26" s="14" t="s">
        <v>139</v>
      </c>
      <c r="B26" t="s">
        <v>201</v>
      </c>
      <c r="C26">
        <v>5</v>
      </c>
      <c r="D26" t="s">
        <v>14</v>
      </c>
      <c r="E26">
        <v>3456</v>
      </c>
    </row>
    <row r="27" spans="1:5" ht="14.25" customHeight="1">
      <c r="A27" s="14" t="str">
        <f>SUBSTITUTE(A13,"-","")</f>
        <v/>
      </c>
    </row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 count="1">
    <dataValidation type="custom" allowBlank="1" showErrorMessage="1" sqref="F1:F11" xr:uid="{00000000-0002-0000-0100-000000000000}">
      <formula1>ISTEXT(F1)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showGridLines="0" topLeftCell="A34" zoomScale="160" zoomScaleNormal="160" workbookViewId="0">
      <selection activeCell="F2" sqref="F2:F14"/>
    </sheetView>
  </sheetViews>
  <sheetFormatPr defaultColWidth="14.44140625" defaultRowHeight="15" customHeight="1"/>
  <cols>
    <col min="1" max="1" width="16.33203125" customWidth="1"/>
    <col min="2" max="2" width="11.44140625" customWidth="1"/>
    <col min="3" max="3" width="15.44140625" customWidth="1"/>
    <col min="4" max="4" width="14.5546875" customWidth="1"/>
    <col min="5" max="5" width="11.6640625" customWidth="1"/>
    <col min="6" max="6" width="11.33203125" customWidth="1"/>
    <col min="7" max="7" width="16" customWidth="1"/>
    <col min="8" max="8" width="14.6640625" customWidth="1"/>
    <col min="9" max="9" width="8.6640625" customWidth="1"/>
    <col min="10" max="11" width="11.88671875" customWidth="1"/>
    <col min="12" max="26" width="8.6640625" customWidth="1"/>
  </cols>
  <sheetData>
    <row r="1" spans="1:11" ht="14.25" customHeight="1">
      <c r="A1" s="17" t="s">
        <v>107</v>
      </c>
      <c r="B1" s="17" t="s">
        <v>140</v>
      </c>
      <c r="C1" s="17" t="s">
        <v>141</v>
      </c>
      <c r="D1" s="17" t="s">
        <v>142</v>
      </c>
      <c r="E1" s="17" t="s">
        <v>143</v>
      </c>
      <c r="F1" s="17" t="s">
        <v>144</v>
      </c>
      <c r="G1" s="17" t="s">
        <v>145</v>
      </c>
      <c r="H1" s="17" t="s">
        <v>146</v>
      </c>
    </row>
    <row r="2" spans="1:11" ht="14.25" customHeight="1">
      <c r="A2" s="12">
        <v>34</v>
      </c>
      <c r="B2" s="12" t="b">
        <f>ISTEXT(A2)</f>
        <v>0</v>
      </c>
      <c r="C2" s="12" t="b">
        <f>ISNONTEXT(A2)</f>
        <v>1</v>
      </c>
      <c r="D2" s="12" t="b">
        <f>ISNUMBER(A2)</f>
        <v>1</v>
      </c>
      <c r="E2" s="12" t="b">
        <f>ISEVEN(A2)</f>
        <v>1</v>
      </c>
      <c r="F2" s="12" t="b">
        <f>ISODD(A2)</f>
        <v>0</v>
      </c>
      <c r="G2" s="12" t="b">
        <f>_xlfn.ISFORMULA(A2)</f>
        <v>0</v>
      </c>
      <c r="H2" s="12" t="b">
        <f>ISLOGICAL(A2)</f>
        <v>0</v>
      </c>
      <c r="K2" s="18"/>
    </row>
    <row r="3" spans="1:11" ht="14.25" customHeight="1">
      <c r="A3" s="12">
        <v>54</v>
      </c>
      <c r="B3" s="12" t="b">
        <f t="shared" ref="B3:B14" si="0">ISTEXT(A3)</f>
        <v>0</v>
      </c>
      <c r="C3" s="12" t="b">
        <f t="shared" ref="C3:C14" si="1">ISNONTEXT(A3)</f>
        <v>1</v>
      </c>
      <c r="D3" s="12" t="b">
        <f t="shared" ref="D3:D14" si="2">ISNUMBER(A3)</f>
        <v>1</v>
      </c>
      <c r="E3" s="12" t="b">
        <f t="shared" ref="E3:E14" si="3">ISEVEN(A3)</f>
        <v>1</v>
      </c>
      <c r="F3" s="12" t="b">
        <f t="shared" ref="F3:F14" si="4">ISODD(A3)</f>
        <v>0</v>
      </c>
      <c r="G3" s="12" t="b">
        <f t="shared" ref="G3:G14" si="5">_xlfn.ISFORMULA(A3)</f>
        <v>0</v>
      </c>
      <c r="H3" s="12" t="b">
        <f t="shared" ref="H3:H14" si="6">ISLOGICAL(A3)</f>
        <v>0</v>
      </c>
    </row>
    <row r="4" spans="1:11" ht="14.25" customHeight="1">
      <c r="A4" s="12">
        <v>33</v>
      </c>
      <c r="B4" s="12" t="b">
        <f t="shared" si="0"/>
        <v>0</v>
      </c>
      <c r="C4" s="12" t="b">
        <f t="shared" si="1"/>
        <v>1</v>
      </c>
      <c r="D4" s="12" t="b">
        <f t="shared" si="2"/>
        <v>1</v>
      </c>
      <c r="E4" s="12" t="b">
        <f t="shared" si="3"/>
        <v>0</v>
      </c>
      <c r="F4" s="12" t="b">
        <f t="shared" si="4"/>
        <v>1</v>
      </c>
      <c r="G4" s="12" t="b">
        <f t="shared" si="5"/>
        <v>0</v>
      </c>
      <c r="H4" s="12" t="b">
        <f t="shared" si="6"/>
        <v>0</v>
      </c>
    </row>
    <row r="5" spans="1:11" ht="14.25" customHeight="1">
      <c r="A5" s="12">
        <v>55</v>
      </c>
      <c r="B5" s="12" t="b">
        <f t="shared" si="0"/>
        <v>0</v>
      </c>
      <c r="C5" s="12" t="b">
        <f t="shared" si="1"/>
        <v>1</v>
      </c>
      <c r="D5" s="12" t="b">
        <f t="shared" si="2"/>
        <v>1</v>
      </c>
      <c r="E5" s="12" t="b">
        <f t="shared" si="3"/>
        <v>0</v>
      </c>
      <c r="F5" s="12" t="b">
        <f t="shared" si="4"/>
        <v>1</v>
      </c>
      <c r="G5" s="12" t="b">
        <f t="shared" si="5"/>
        <v>0</v>
      </c>
      <c r="H5" s="12" t="b">
        <f t="shared" si="6"/>
        <v>0</v>
      </c>
      <c r="K5" s="19"/>
    </row>
    <row r="6" spans="1:11" ht="14.25" customHeight="1">
      <c r="A6" s="20">
        <f ca="1">TODAY()</f>
        <v>46303</v>
      </c>
      <c r="B6" s="12" t="b">
        <f t="shared" ca="1" si="0"/>
        <v>0</v>
      </c>
      <c r="C6" s="12" t="b">
        <f t="shared" ca="1" si="1"/>
        <v>1</v>
      </c>
      <c r="D6" s="12" t="b">
        <f t="shared" ca="1" si="2"/>
        <v>1</v>
      </c>
      <c r="E6" s="12" t="b">
        <f t="shared" ca="1" si="3"/>
        <v>0</v>
      </c>
      <c r="F6" s="12" t="b">
        <f t="shared" ca="1" si="4"/>
        <v>1</v>
      </c>
      <c r="G6" s="12" t="b">
        <f>_xlfn.ISFORMULA(A6)</f>
        <v>1</v>
      </c>
      <c r="H6" s="12" t="b">
        <f t="shared" ca="1" si="6"/>
        <v>0</v>
      </c>
      <c r="K6" s="19"/>
    </row>
    <row r="7" spans="1:11" ht="14.25" customHeight="1">
      <c r="A7" s="12" t="s">
        <v>147</v>
      </c>
      <c r="B7" s="12" t="b">
        <f t="shared" si="0"/>
        <v>1</v>
      </c>
      <c r="C7" s="12" t="b">
        <f t="shared" si="1"/>
        <v>0</v>
      </c>
      <c r="D7" s="12" t="b">
        <f t="shared" si="2"/>
        <v>0</v>
      </c>
      <c r="E7" s="12" t="e">
        <f t="shared" si="3"/>
        <v>#VALUE!</v>
      </c>
      <c r="F7" s="12" t="e">
        <f t="shared" si="4"/>
        <v>#VALUE!</v>
      </c>
      <c r="G7" s="12" t="b">
        <f t="shared" si="5"/>
        <v>0</v>
      </c>
      <c r="H7" s="12" t="b">
        <f t="shared" si="6"/>
        <v>0</v>
      </c>
      <c r="K7" s="19"/>
    </row>
    <row r="8" spans="1:11" ht="14.25" customHeight="1">
      <c r="A8" s="12">
        <v>23</v>
      </c>
      <c r="B8" s="12" t="b">
        <f t="shared" si="0"/>
        <v>0</v>
      </c>
      <c r="C8" s="12" t="b">
        <f t="shared" si="1"/>
        <v>1</v>
      </c>
      <c r="D8" s="12" t="b">
        <f t="shared" si="2"/>
        <v>1</v>
      </c>
      <c r="E8" s="12" t="b">
        <f t="shared" si="3"/>
        <v>0</v>
      </c>
      <c r="F8" s="12" t="b">
        <f t="shared" si="4"/>
        <v>1</v>
      </c>
      <c r="G8" s="12" t="b">
        <f t="shared" si="5"/>
        <v>0</v>
      </c>
      <c r="H8" s="12" t="b">
        <f t="shared" si="6"/>
        <v>0</v>
      </c>
    </row>
    <row r="9" spans="1:11" ht="14.25" customHeight="1">
      <c r="A9" s="12" t="s">
        <v>148</v>
      </c>
      <c r="B9" s="12" t="b">
        <f t="shared" si="0"/>
        <v>1</v>
      </c>
      <c r="C9" s="12" t="b">
        <f t="shared" si="1"/>
        <v>0</v>
      </c>
      <c r="D9" s="12" t="b">
        <f t="shared" si="2"/>
        <v>0</v>
      </c>
      <c r="E9" s="12" t="e">
        <f t="shared" si="3"/>
        <v>#VALUE!</v>
      </c>
      <c r="F9" s="12" t="e">
        <f t="shared" si="4"/>
        <v>#VALUE!</v>
      </c>
      <c r="G9" s="12" t="b">
        <f t="shared" si="5"/>
        <v>0</v>
      </c>
      <c r="H9" s="12" t="b">
        <f t="shared" si="6"/>
        <v>0</v>
      </c>
    </row>
    <row r="10" spans="1:11" ht="14.25" customHeight="1">
      <c r="A10" s="12" t="b">
        <v>1</v>
      </c>
      <c r="B10" s="12" t="b">
        <f t="shared" si="0"/>
        <v>0</v>
      </c>
      <c r="C10" s="12" t="b">
        <f t="shared" si="1"/>
        <v>1</v>
      </c>
      <c r="D10" s="12" t="b">
        <f t="shared" si="2"/>
        <v>0</v>
      </c>
      <c r="E10" s="12" t="e">
        <f t="shared" si="3"/>
        <v>#VALUE!</v>
      </c>
      <c r="F10" s="12" t="e">
        <f t="shared" si="4"/>
        <v>#VALUE!</v>
      </c>
      <c r="G10" s="12" t="b">
        <f t="shared" si="5"/>
        <v>0</v>
      </c>
      <c r="H10" s="12" t="b">
        <f t="shared" si="6"/>
        <v>1</v>
      </c>
    </row>
    <row r="11" spans="1:11" ht="14.25" customHeight="1">
      <c r="A11" s="12">
        <v>89</v>
      </c>
      <c r="B11" s="12" t="b">
        <f t="shared" si="0"/>
        <v>0</v>
      </c>
      <c r="C11" s="12" t="b">
        <f t="shared" si="1"/>
        <v>1</v>
      </c>
      <c r="D11" s="12" t="b">
        <f t="shared" si="2"/>
        <v>1</v>
      </c>
      <c r="E11" s="12" t="b">
        <f t="shared" si="3"/>
        <v>0</v>
      </c>
      <c r="F11" s="12" t="b">
        <f t="shared" si="4"/>
        <v>1</v>
      </c>
      <c r="G11" s="12" t="b">
        <f t="shared" si="5"/>
        <v>0</v>
      </c>
      <c r="H11" s="12" t="b">
        <f t="shared" si="6"/>
        <v>0</v>
      </c>
    </row>
    <row r="12" spans="1:11" ht="14.25" customHeight="1">
      <c r="A12" s="12">
        <v>23</v>
      </c>
      <c r="B12" s="12" t="b">
        <f t="shared" si="0"/>
        <v>0</v>
      </c>
      <c r="C12" s="12" t="b">
        <f t="shared" si="1"/>
        <v>1</v>
      </c>
      <c r="D12" s="12" t="b">
        <f t="shared" si="2"/>
        <v>1</v>
      </c>
      <c r="E12" s="12" t="b">
        <f t="shared" si="3"/>
        <v>0</v>
      </c>
      <c r="F12" s="12" t="b">
        <f t="shared" si="4"/>
        <v>1</v>
      </c>
      <c r="G12" s="12" t="b">
        <f t="shared" si="5"/>
        <v>0</v>
      </c>
      <c r="H12" s="12" t="b">
        <f t="shared" si="6"/>
        <v>0</v>
      </c>
    </row>
    <row r="13" spans="1:11" ht="14.25" customHeight="1">
      <c r="A13" s="12" t="b">
        <v>0</v>
      </c>
      <c r="B13" s="12" t="b">
        <f t="shared" si="0"/>
        <v>0</v>
      </c>
      <c r="C13" s="12" t="b">
        <f t="shared" si="1"/>
        <v>1</v>
      </c>
      <c r="D13" s="12" t="b">
        <f t="shared" si="2"/>
        <v>0</v>
      </c>
      <c r="E13" s="12" t="e">
        <f t="shared" si="3"/>
        <v>#VALUE!</v>
      </c>
      <c r="F13" s="12" t="e">
        <f t="shared" si="4"/>
        <v>#VALUE!</v>
      </c>
      <c r="G13" s="12" t="b">
        <f t="shared" si="5"/>
        <v>0</v>
      </c>
      <c r="H13" s="12" t="b">
        <f t="shared" si="6"/>
        <v>1</v>
      </c>
    </row>
    <row r="14" spans="1:11" ht="14.25" customHeight="1">
      <c r="A14" s="12">
        <v>52</v>
      </c>
      <c r="B14" s="12" t="b">
        <f t="shared" si="0"/>
        <v>0</v>
      </c>
      <c r="C14" s="12" t="b">
        <f t="shared" si="1"/>
        <v>1</v>
      </c>
      <c r="D14" s="12" t="b">
        <f t="shared" si="2"/>
        <v>1</v>
      </c>
      <c r="E14" s="12" t="b">
        <f t="shared" si="3"/>
        <v>1</v>
      </c>
      <c r="F14" s="12" t="b">
        <f t="shared" si="4"/>
        <v>0</v>
      </c>
      <c r="G14" s="12" t="b">
        <f t="shared" si="5"/>
        <v>0</v>
      </c>
      <c r="H14" s="12" t="b">
        <f t="shared" si="6"/>
        <v>0</v>
      </c>
    </row>
    <row r="15" spans="1:11" ht="14.25" customHeight="1"/>
    <row r="16" spans="1:11" ht="14.25" customHeight="1">
      <c r="B16" s="21"/>
      <c r="C16" s="21" t="e">
        <f t="shared" ref="C16:H16" ca="1" si="7">_xludf.FORMULATEXT(C2)</f>
        <v>#NAME?</v>
      </c>
      <c r="D16" s="21" t="e">
        <f t="shared" ca="1" si="7"/>
        <v>#NAME?</v>
      </c>
      <c r="E16" s="21" t="e">
        <f t="shared" ca="1" si="7"/>
        <v>#NAME?</v>
      </c>
      <c r="F16" s="21" t="e">
        <f t="shared" ca="1" si="7"/>
        <v>#NAME?</v>
      </c>
      <c r="G16" s="21" t="e">
        <f t="shared" ca="1" si="7"/>
        <v>#NAME?</v>
      </c>
      <c r="H16" s="21" t="e">
        <f t="shared" ca="1" si="7"/>
        <v>#NAME?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000"/>
  <sheetViews>
    <sheetView showGridLines="0" workbookViewId="0">
      <selection activeCell="E14" sqref="E14"/>
    </sheetView>
  </sheetViews>
  <sheetFormatPr defaultColWidth="14.44140625" defaultRowHeight="15" customHeight="1"/>
  <cols>
    <col min="1" max="1" width="8.6640625" customWidth="1"/>
    <col min="2" max="2" width="12.6640625" customWidth="1"/>
    <col min="3" max="3" width="8.6640625" customWidth="1"/>
    <col min="4" max="4" width="12.33203125" customWidth="1"/>
    <col min="5" max="26" width="8.6640625" customWidth="1"/>
  </cols>
  <sheetData>
    <row r="1" spans="2:6" ht="14.25" customHeight="1"/>
    <row r="2" spans="2:6" ht="14.25" customHeight="1"/>
    <row r="3" spans="2:6" ht="14.25" customHeight="1">
      <c r="B3" s="10" t="s">
        <v>149</v>
      </c>
      <c r="C3" s="10" t="s">
        <v>150</v>
      </c>
      <c r="D3" s="10" t="s">
        <v>151</v>
      </c>
      <c r="E3" s="10" t="s">
        <v>152</v>
      </c>
    </row>
    <row r="4" spans="2:6" ht="14.25" customHeight="1">
      <c r="B4" s="8" t="s">
        <v>153</v>
      </c>
      <c r="C4" s="8">
        <v>23</v>
      </c>
      <c r="D4" s="8">
        <v>6.7</v>
      </c>
      <c r="E4" s="8">
        <f>C4*D4</f>
        <v>154.1</v>
      </c>
    </row>
    <row r="5" spans="2:6" ht="14.25" customHeight="1">
      <c r="B5" s="8" t="s">
        <v>154</v>
      </c>
      <c r="C5" s="8">
        <v>443</v>
      </c>
      <c r="D5" s="8">
        <v>4.5</v>
      </c>
      <c r="E5" s="8">
        <f t="shared" ref="E5:E10" si="0">C5*D5</f>
        <v>1993.5</v>
      </c>
    </row>
    <row r="6" spans="2:6" ht="14.25" customHeight="1">
      <c r="B6" s="8" t="s">
        <v>155</v>
      </c>
      <c r="C6" s="8">
        <v>454</v>
      </c>
      <c r="D6" s="8">
        <v>6.7</v>
      </c>
      <c r="E6" s="8">
        <f t="shared" si="0"/>
        <v>3041.8</v>
      </c>
    </row>
    <row r="7" spans="2:6" ht="14.25" customHeight="1">
      <c r="B7" s="8" t="s">
        <v>156</v>
      </c>
      <c r="C7" s="8">
        <v>65</v>
      </c>
      <c r="D7" s="8">
        <v>8.1999999999999993</v>
      </c>
      <c r="E7" s="8">
        <f t="shared" si="0"/>
        <v>533</v>
      </c>
    </row>
    <row r="8" spans="2:6" ht="14.25" customHeight="1">
      <c r="B8" s="8" t="s">
        <v>157</v>
      </c>
      <c r="C8" s="8">
        <v>34</v>
      </c>
      <c r="D8" s="8">
        <v>5.5</v>
      </c>
      <c r="E8" s="8">
        <f t="shared" si="0"/>
        <v>187</v>
      </c>
    </row>
    <row r="9" spans="2:6" ht="14.25" customHeight="1">
      <c r="B9" s="8" t="s">
        <v>158</v>
      </c>
      <c r="C9" s="8">
        <v>45</v>
      </c>
      <c r="D9" s="8">
        <v>3.8</v>
      </c>
      <c r="E9" s="8">
        <f t="shared" si="0"/>
        <v>171</v>
      </c>
    </row>
    <row r="10" spans="2:6" ht="14.25" customHeight="1">
      <c r="B10" s="8" t="s">
        <v>159</v>
      </c>
      <c r="C10" s="8">
        <v>32</v>
      </c>
      <c r="D10" s="8">
        <v>7.4</v>
      </c>
      <c r="E10" s="8">
        <f t="shared" si="0"/>
        <v>236.8</v>
      </c>
    </row>
    <row r="11" spans="2:6" ht="14.25" customHeight="1">
      <c r="D11" s="10" t="s">
        <v>160</v>
      </c>
      <c r="E11" s="8">
        <f>SUM(E4:E10)</f>
        <v>6317.2</v>
      </c>
      <c r="F11" s="21"/>
    </row>
    <row r="12" spans="2:6" ht="14.25" customHeight="1"/>
    <row r="13" spans="2:6" ht="14.25" customHeight="1">
      <c r="D13" s="10" t="s">
        <v>160</v>
      </c>
      <c r="E13">
        <f>SUMPRODUCT(C4:C10,D4:D10)</f>
        <v>6317.2</v>
      </c>
      <c r="F13" s="21"/>
    </row>
    <row r="14" spans="2:6" ht="14.25" customHeight="1"/>
    <row r="15" spans="2:6" ht="14.25" customHeight="1"/>
    <row r="16" spans="2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29A7-075D-4385-AE95-BE33E6F4DAAD}">
  <dimension ref="D4:J13"/>
  <sheetViews>
    <sheetView tabSelected="1" topLeftCell="C1" zoomScale="115" workbookViewId="0">
      <selection activeCell="I14" sqref="I14"/>
    </sheetView>
  </sheetViews>
  <sheetFormatPr defaultRowHeight="14.4"/>
  <sheetData>
    <row r="4" spans="4:10">
      <c r="D4" t="s">
        <v>219</v>
      </c>
    </row>
    <row r="6" spans="4:10">
      <c r="D6" t="s">
        <v>220</v>
      </c>
      <c r="I6">
        <v>23</v>
      </c>
    </row>
    <row r="8" spans="4:10">
      <c r="D8" t="s">
        <v>221</v>
      </c>
      <c r="E8" t="s">
        <v>227</v>
      </c>
      <c r="I8" t="b">
        <f xml:space="preserve"> I6 = 40</f>
        <v>0</v>
      </c>
      <c r="J8" t="str">
        <f ca="1">_xlfn.FORMULATEXT(I8)</f>
        <v>= I6 = 40</v>
      </c>
    </row>
    <row r="9" spans="4:10">
      <c r="D9" t="s">
        <v>222</v>
      </c>
      <c r="E9" t="s">
        <v>228</v>
      </c>
      <c r="I9" t="b">
        <f>I6 &lt;&gt; 45</f>
        <v>1</v>
      </c>
      <c r="J9" t="str">
        <f t="shared" ref="J9:J13" ca="1" si="0">_xlfn.FORMULATEXT(I9)</f>
        <v>=I6 &lt;&gt; 45</v>
      </c>
    </row>
    <row r="10" spans="4:10">
      <c r="D10" t="s">
        <v>223</v>
      </c>
      <c r="E10" t="s">
        <v>229</v>
      </c>
      <c r="I10" t="b">
        <f>I6 &lt; 35</f>
        <v>1</v>
      </c>
      <c r="J10" t="str">
        <f t="shared" ca="1" si="0"/>
        <v>=I6 &lt; 35</v>
      </c>
    </row>
    <row r="11" spans="4:10">
      <c r="D11" t="s">
        <v>224</v>
      </c>
      <c r="E11" t="s">
        <v>230</v>
      </c>
      <c r="I11" t="b">
        <f>I6 &gt; 55</f>
        <v>0</v>
      </c>
      <c r="J11" t="str">
        <f t="shared" ca="1" si="0"/>
        <v>=I6 &gt; 55</v>
      </c>
    </row>
    <row r="12" spans="4:10">
      <c r="D12" t="s">
        <v>225</v>
      </c>
      <c r="E12" t="s">
        <v>231</v>
      </c>
      <c r="I12" t="b">
        <f>I6 &lt;= 23</f>
        <v>1</v>
      </c>
      <c r="J12" t="str">
        <f t="shared" ca="1" si="0"/>
        <v>=I6 &lt;= 23</v>
      </c>
    </row>
    <row r="13" spans="4:10">
      <c r="D13" t="s">
        <v>226</v>
      </c>
      <c r="E13" t="s">
        <v>230</v>
      </c>
      <c r="F13" t="s">
        <v>232</v>
      </c>
      <c r="I13" t="b">
        <f>I6 &gt;= 14</f>
        <v>1</v>
      </c>
      <c r="J13" t="str">
        <f t="shared" ca="1" si="0"/>
        <v>=I6 &gt;= 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showGridLines="0" zoomScale="130" zoomScaleNormal="130" workbookViewId="0">
      <selection activeCell="I12" sqref="I12"/>
    </sheetView>
  </sheetViews>
  <sheetFormatPr defaultColWidth="14.44140625" defaultRowHeight="15" customHeight="1"/>
  <cols>
    <col min="1" max="1" width="9.6640625" customWidth="1"/>
    <col min="2" max="2" width="15.109375" customWidth="1"/>
    <col min="3" max="3" width="10.5546875" customWidth="1"/>
    <col min="4" max="4" width="9.5546875" customWidth="1"/>
    <col min="5" max="5" width="8.6640625" customWidth="1"/>
    <col min="6" max="6" width="11.44140625" customWidth="1"/>
    <col min="7" max="7" width="11.6640625" bestFit="1" customWidth="1"/>
    <col min="8" max="8" width="8.6640625" customWidth="1"/>
    <col min="9" max="9" width="12.44140625" customWidth="1"/>
    <col min="10" max="10" width="8.6640625" customWidth="1"/>
    <col min="11" max="11" width="22.6640625" customWidth="1"/>
    <col min="12" max="26" width="8.6640625" customWidth="1"/>
  </cols>
  <sheetData>
    <row r="1" spans="1:11" ht="14.25" customHeight="1">
      <c r="A1" s="22" t="s">
        <v>6</v>
      </c>
      <c r="B1" s="22" t="s">
        <v>7</v>
      </c>
      <c r="C1" s="22" t="s">
        <v>8</v>
      </c>
      <c r="D1" s="22" t="s">
        <v>9</v>
      </c>
      <c r="E1" s="22" t="s">
        <v>10</v>
      </c>
      <c r="F1" s="22" t="s">
        <v>11</v>
      </c>
      <c r="G1" s="23" t="s">
        <v>12</v>
      </c>
      <c r="H1" s="24"/>
    </row>
    <row r="2" spans="1:11" ht="14.25" customHeight="1">
      <c r="A2" s="12">
        <v>1</v>
      </c>
      <c r="B2" s="12" t="s">
        <v>74</v>
      </c>
      <c r="C2" s="12" t="s">
        <v>75</v>
      </c>
      <c r="D2" s="12" t="s">
        <v>31</v>
      </c>
      <c r="E2" s="12" t="s">
        <v>32</v>
      </c>
      <c r="F2" s="12" t="s">
        <v>33</v>
      </c>
      <c r="G2" s="25">
        <v>10000</v>
      </c>
    </row>
    <row r="3" spans="1:11" ht="14.25" customHeight="1">
      <c r="A3" s="12">
        <v>2</v>
      </c>
      <c r="B3" s="12" t="s">
        <v>93</v>
      </c>
      <c r="C3" s="12" t="s">
        <v>94</v>
      </c>
      <c r="D3" s="12" t="s">
        <v>25</v>
      </c>
      <c r="E3" s="12" t="s">
        <v>26</v>
      </c>
      <c r="F3" s="12" t="s">
        <v>57</v>
      </c>
      <c r="G3" s="25">
        <v>12000</v>
      </c>
    </row>
    <row r="4" spans="1:11" ht="14.25" customHeight="1">
      <c r="A4" s="12">
        <v>3</v>
      </c>
      <c r="B4" s="12" t="s">
        <v>84</v>
      </c>
      <c r="C4" s="12" t="s">
        <v>62</v>
      </c>
      <c r="D4" s="12"/>
      <c r="E4" s="12" t="s">
        <v>26</v>
      </c>
      <c r="F4" s="12" t="s">
        <v>20</v>
      </c>
      <c r="G4" s="25">
        <v>11250</v>
      </c>
      <c r="I4" s="26">
        <f>SUM(SALARY)</f>
        <v>184600</v>
      </c>
      <c r="K4" s="21" t="str">
        <f ca="1">_xlfn.FORMULATEXT(I4)</f>
        <v>=SUM(SALARY)</v>
      </c>
    </row>
    <row r="5" spans="1:11" ht="14.25" customHeight="1">
      <c r="A5" s="12">
        <v>4</v>
      </c>
      <c r="B5" s="12" t="s">
        <v>96</v>
      </c>
      <c r="C5" s="12" t="s">
        <v>97</v>
      </c>
      <c r="D5" s="12" t="s">
        <v>98</v>
      </c>
      <c r="E5" s="12" t="s">
        <v>50</v>
      </c>
      <c r="F5" s="12" t="s">
        <v>44</v>
      </c>
      <c r="G5" s="25">
        <v>12000</v>
      </c>
      <c r="I5" s="27">
        <f>AVERAGE(SALARY)</f>
        <v>9230</v>
      </c>
      <c r="K5" s="21" t="str">
        <f ca="1">_xlfn.FORMULATEXT(I5)</f>
        <v>=AVERAGE(SALARY)</v>
      </c>
    </row>
    <row r="6" spans="1:11" ht="14.25" customHeight="1">
      <c r="A6" s="12">
        <v>5</v>
      </c>
      <c r="B6" s="12" t="s">
        <v>100</v>
      </c>
      <c r="C6" s="12"/>
      <c r="D6" s="12" t="s">
        <v>25</v>
      </c>
      <c r="E6" s="12" t="s">
        <v>26</v>
      </c>
      <c r="F6" s="12" t="s">
        <v>33</v>
      </c>
      <c r="G6" s="25">
        <v>16250</v>
      </c>
    </row>
    <row r="7" spans="1:11" ht="14.25" customHeight="1">
      <c r="A7" s="12">
        <v>6</v>
      </c>
      <c r="B7" s="12" t="s">
        <v>54</v>
      </c>
      <c r="C7" s="12" t="s">
        <v>55</v>
      </c>
      <c r="D7" s="12" t="s">
        <v>56</v>
      </c>
      <c r="E7" s="12" t="s">
        <v>19</v>
      </c>
      <c r="F7" s="12" t="s">
        <v>57</v>
      </c>
      <c r="G7" s="25">
        <v>6400</v>
      </c>
      <c r="I7" s="14" t="s">
        <v>161</v>
      </c>
    </row>
    <row r="8" spans="1:11" ht="14.25" customHeight="1">
      <c r="A8" s="12">
        <v>7</v>
      </c>
      <c r="B8" s="12" t="s">
        <v>16</v>
      </c>
      <c r="C8" s="12" t="s">
        <v>17</v>
      </c>
      <c r="D8" s="12" t="s">
        <v>18</v>
      </c>
      <c r="E8" s="12" t="s">
        <v>19</v>
      </c>
      <c r="F8" s="12" t="s">
        <v>20</v>
      </c>
      <c r="G8" s="25">
        <v>4500</v>
      </c>
    </row>
    <row r="9" spans="1:11" ht="14.25" customHeight="1">
      <c r="A9" s="12">
        <v>8</v>
      </c>
      <c r="B9" s="12" t="s">
        <v>42</v>
      </c>
      <c r="C9" s="12" t="s">
        <v>43</v>
      </c>
      <c r="D9" s="12" t="s">
        <v>18</v>
      </c>
      <c r="E9" s="12" t="s">
        <v>19</v>
      </c>
      <c r="F9" s="12" t="s">
        <v>44</v>
      </c>
      <c r="G9" s="25">
        <v>6275</v>
      </c>
      <c r="I9" s="27">
        <f>SUM(I7)</f>
        <v>0</v>
      </c>
      <c r="K9" s="21" t="e">
        <f ca="1">_xlfn.SINGLE(_xlfn.FORMULATEXT(I9))</f>
        <v>#NAME?</v>
      </c>
    </row>
    <row r="10" spans="1:11" ht="14.25" customHeight="1">
      <c r="A10" s="12">
        <v>9</v>
      </c>
      <c r="B10" s="12" t="s">
        <v>29</v>
      </c>
      <c r="C10" s="12" t="s">
        <v>30</v>
      </c>
      <c r="D10" s="12" t="s">
        <v>31</v>
      </c>
      <c r="E10" s="12" t="s">
        <v>32</v>
      </c>
      <c r="F10" s="12" t="s">
        <v>33</v>
      </c>
      <c r="G10" s="25">
        <v>6250</v>
      </c>
      <c r="I10" s="27">
        <f ca="1">SUM(INDIRECT(I7))</f>
        <v>184600</v>
      </c>
      <c r="K10" s="21" t="e">
        <f ca="1">_xlfn.SINGLE(_xlfn.FORMULATEXT(I10))</f>
        <v>#NAME?</v>
      </c>
    </row>
    <row r="11" spans="1:11" ht="14.25" customHeight="1">
      <c r="A11" s="12">
        <v>10</v>
      </c>
      <c r="B11" s="12" t="s">
        <v>66</v>
      </c>
      <c r="C11" s="12"/>
      <c r="D11" s="12" t="s">
        <v>67</v>
      </c>
      <c r="E11" s="12" t="s">
        <v>50</v>
      </c>
      <c r="F11" s="12" t="s">
        <v>57</v>
      </c>
      <c r="G11" s="25">
        <v>8750</v>
      </c>
      <c r="I11" s="27">
        <f ca="1">INDIRECT(I14)</f>
        <v>11250</v>
      </c>
      <c r="K11" s="21" t="e">
        <f ca="1">_xlfn.SINGLE(_xlfn.FORMULATEXT(I11))</f>
        <v>#NAME?</v>
      </c>
    </row>
    <row r="12" spans="1:11" ht="14.25" customHeight="1">
      <c r="A12" s="12">
        <v>11</v>
      </c>
      <c r="B12" s="12" t="s">
        <v>86</v>
      </c>
      <c r="C12" s="12" t="s">
        <v>87</v>
      </c>
      <c r="D12" s="12" t="s">
        <v>67</v>
      </c>
      <c r="E12" s="12" t="s">
        <v>50</v>
      </c>
      <c r="F12" s="12" t="s">
        <v>20</v>
      </c>
      <c r="G12" s="25">
        <v>11250</v>
      </c>
    </row>
    <row r="13" spans="1:11" ht="14.25" customHeight="1">
      <c r="A13" s="12">
        <v>12</v>
      </c>
      <c r="B13" s="12" t="s">
        <v>77</v>
      </c>
      <c r="C13" s="12" t="s">
        <v>78</v>
      </c>
      <c r="D13" s="12" t="s">
        <v>49</v>
      </c>
      <c r="E13" s="12" t="s">
        <v>50</v>
      </c>
      <c r="F13" s="12" t="s">
        <v>44</v>
      </c>
      <c r="G13" s="25">
        <v>10000</v>
      </c>
    </row>
    <row r="14" spans="1:11" ht="14.25" customHeight="1">
      <c r="A14" s="12">
        <v>13</v>
      </c>
      <c r="B14" s="12" t="s">
        <v>102</v>
      </c>
      <c r="C14" s="12" t="s">
        <v>94</v>
      </c>
      <c r="D14" s="12" t="s">
        <v>103</v>
      </c>
      <c r="E14" s="12" t="s">
        <v>50</v>
      </c>
      <c r="F14" s="12" t="s">
        <v>33</v>
      </c>
      <c r="G14" s="25">
        <v>16250</v>
      </c>
      <c r="I14" s="28" t="s">
        <v>218</v>
      </c>
    </row>
    <row r="15" spans="1:11" ht="14.25" customHeight="1">
      <c r="A15" s="12">
        <v>14</v>
      </c>
      <c r="B15" s="12" t="s">
        <v>61</v>
      </c>
      <c r="C15" s="12" t="s">
        <v>62</v>
      </c>
      <c r="D15" s="12" t="s">
        <v>49</v>
      </c>
      <c r="E15" s="12" t="s">
        <v>50</v>
      </c>
      <c r="F15" s="12" t="s">
        <v>57</v>
      </c>
      <c r="G15" s="25">
        <v>6400</v>
      </c>
    </row>
    <row r="16" spans="1:11" ht="14.25" customHeight="1">
      <c r="A16" s="12">
        <v>15</v>
      </c>
      <c r="B16" s="12" t="s">
        <v>23</v>
      </c>
      <c r="C16" s="12" t="s">
        <v>24</v>
      </c>
      <c r="D16" s="12" t="s">
        <v>25</v>
      </c>
      <c r="E16" s="12" t="s">
        <v>26</v>
      </c>
      <c r="F16" s="12" t="s">
        <v>20</v>
      </c>
      <c r="G16" s="25">
        <v>4500</v>
      </c>
    </row>
    <row r="17" spans="1:7" ht="14.25" customHeight="1">
      <c r="A17" s="12">
        <v>16</v>
      </c>
      <c r="B17" s="12" t="s">
        <v>48</v>
      </c>
      <c r="C17" s="12"/>
      <c r="D17" s="12" t="s">
        <v>49</v>
      </c>
      <c r="E17" s="12" t="s">
        <v>50</v>
      </c>
      <c r="F17" s="12" t="s">
        <v>44</v>
      </c>
      <c r="G17" s="25">
        <v>6275</v>
      </c>
    </row>
    <row r="18" spans="1:7" ht="14.25" customHeight="1">
      <c r="A18" s="12">
        <v>17</v>
      </c>
      <c r="B18" s="12" t="s">
        <v>36</v>
      </c>
      <c r="C18" s="12" t="s">
        <v>37</v>
      </c>
      <c r="D18" s="12" t="s">
        <v>31</v>
      </c>
      <c r="E18" s="12" t="s">
        <v>32</v>
      </c>
      <c r="F18" s="12" t="s">
        <v>38</v>
      </c>
      <c r="G18" s="25">
        <v>6250</v>
      </c>
    </row>
    <row r="19" spans="1:7" ht="14.25" customHeight="1">
      <c r="A19" s="12">
        <v>18</v>
      </c>
      <c r="B19" s="12" t="s">
        <v>71</v>
      </c>
      <c r="C19" s="12" t="s">
        <v>72</v>
      </c>
      <c r="D19" s="12" t="s">
        <v>31</v>
      </c>
      <c r="E19" s="12" t="s">
        <v>32</v>
      </c>
      <c r="F19" s="12" t="s">
        <v>44</v>
      </c>
      <c r="G19" s="25">
        <v>8750</v>
      </c>
    </row>
    <row r="20" spans="1:7" ht="14.25" customHeight="1">
      <c r="A20" s="12">
        <v>19</v>
      </c>
      <c r="B20" s="12" t="s">
        <v>89</v>
      </c>
      <c r="C20" s="12" t="s">
        <v>90</v>
      </c>
      <c r="D20" s="12" t="s">
        <v>91</v>
      </c>
      <c r="E20" s="12" t="s">
        <v>32</v>
      </c>
      <c r="F20" s="12" t="s">
        <v>38</v>
      </c>
      <c r="G20" s="25">
        <v>11250</v>
      </c>
    </row>
    <row r="21" spans="1:7" ht="14.25" customHeight="1">
      <c r="A21" s="12">
        <v>20</v>
      </c>
      <c r="B21" s="12" t="s">
        <v>80</v>
      </c>
      <c r="C21" s="12" t="s">
        <v>81</v>
      </c>
      <c r="D21" s="12" t="s">
        <v>82</v>
      </c>
      <c r="E21" s="12" t="s">
        <v>26</v>
      </c>
      <c r="F21" s="12" t="s">
        <v>33</v>
      </c>
      <c r="G21" s="25">
        <v>10000</v>
      </c>
    </row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 count="3">
    <dataValidation type="custom" allowBlank="1" showErrorMessage="1" sqref="G1" xr:uid="{00000000-0002-0000-0400-000000000000}">
      <formula1>ISNUMBER(G2)</formula1>
    </dataValidation>
    <dataValidation type="custom" allowBlank="1" showErrorMessage="1" sqref="B1:B21" xr:uid="{00000000-0002-0000-0400-000001000000}">
      <formula1>ISTEXT(B1)</formula1>
    </dataValidation>
    <dataValidation type="custom" allowBlank="1" showErrorMessage="1" sqref="G2:G21" xr:uid="{00000000-0002-0000-0400-000002000000}">
      <formula1>ISNUMBER(G2)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Flash Fill</vt:lpstr>
      <vt:lpstr>Text to Column</vt:lpstr>
      <vt:lpstr>Information Functions</vt:lpstr>
      <vt:lpstr>Sumproduct</vt:lpstr>
      <vt:lpstr>Sheet1</vt:lpstr>
      <vt:lpstr>Indirect</vt:lpstr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Tadam</dc:creator>
  <cp:lastModifiedBy>Om Gore</cp:lastModifiedBy>
  <dcterms:created xsi:type="dcterms:W3CDTF">2024-05-23T13:04:39Z</dcterms:created>
  <dcterms:modified xsi:type="dcterms:W3CDTF">2026-10-07T18:59:18Z</dcterms:modified>
</cp:coreProperties>
</file>