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21B7202C-153E-47C7-8156-8D367EB1DD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c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6" i="1"/>
  <c r="I11" i="1"/>
  <c r="I12" i="1"/>
  <c r="I13" i="1"/>
  <c r="I14" i="1"/>
  <c r="I19" i="1"/>
  <c r="I20" i="1"/>
  <c r="I21" i="1"/>
  <c r="I2" i="1"/>
  <c r="H3" i="1"/>
  <c r="I3" i="1" s="1"/>
  <c r="H4" i="1"/>
  <c r="I4" i="1" s="1"/>
  <c r="H5" i="1"/>
  <c r="I5" i="1" s="1"/>
  <c r="H6" i="1"/>
  <c r="H7" i="1"/>
  <c r="I7" i="1" s="1"/>
  <c r="H8" i="1"/>
  <c r="I8" i="1" s="1"/>
  <c r="H9" i="1"/>
  <c r="I9" i="1" s="1"/>
  <c r="H10" i="1"/>
  <c r="I10" i="1" s="1"/>
  <c r="H11" i="1"/>
  <c r="H12" i="1"/>
  <c r="H13" i="1"/>
  <c r="H14" i="1"/>
  <c r="H15" i="1"/>
  <c r="I15" i="1" s="1"/>
  <c r="H16" i="1"/>
  <c r="I16" i="1" s="1"/>
  <c r="H17" i="1"/>
  <c r="I17" i="1" s="1"/>
  <c r="H18" i="1"/>
  <c r="I18" i="1" s="1"/>
  <c r="H19" i="1"/>
  <c r="H20" i="1"/>
  <c r="H21" i="1"/>
  <c r="H2" i="1"/>
  <c r="M23" i="1"/>
  <c r="H23" i="1"/>
  <c r="I23" i="1"/>
  <c r="X23" i="1"/>
  <c r="W23" i="1"/>
  <c r="O23" i="1"/>
  <c r="P23" i="1"/>
  <c r="L23" i="1"/>
  <c r="K23" i="1"/>
  <c r="T23" i="1"/>
  <c r="Q23" i="1"/>
  <c r="V23" i="1"/>
  <c r="J23" i="1"/>
  <c r="R23" i="1"/>
  <c r="U23" i="1"/>
  <c r="S23" i="1"/>
  <c r="N23" i="1"/>
  <c r="Y23" i="1"/>
</calcChain>
</file>

<file path=xl/sharedStrings.xml><?xml version="1.0" encoding="utf-8"?>
<sst xmlns="http://schemas.openxmlformats.org/spreadsheetml/2006/main" count="140" uniqueCount="83">
  <si>
    <t>Emp Code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</si>
  <si>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</si>
  <si>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</si>
  <si>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</si>
  <si>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</si>
  <si>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</si>
  <si>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</si>
  <si>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</si>
  <si>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</si>
  <si>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</si>
  <si>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</si>
  <si>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</si>
  <si>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</si>
  <si>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</si>
  <si>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</si>
  <si>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</si>
  <si>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</si>
  <si>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</si>
  <si>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</si>
  <si>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</si>
  <si>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</si>
  <si>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</si>
  <si>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</si>
  <si>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</si>
  <si>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S</t>
  </si>
  <si>
    <t>R&amp;D</t>
  </si>
  <si>
    <t>Sanjay Gupta</t>
  </si>
  <si>
    <t>G K - II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</si>
  <si>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</si>
  <si>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</si>
  <si>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</si>
  <si>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</si>
  <si>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</si>
  <si>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</si>
  <si>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</si>
  <si>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</si>
  <si>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</si>
  <si>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</si>
  <si>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</si>
  <si>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</si>
  <si>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Kormangala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</si>
  <si>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</si>
  <si>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</si>
  <si>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</si>
  <si>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</si>
  <si>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</si>
  <si>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</si>
  <si>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</si>
  <si>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</si>
  <si>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</si>
  <si>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</si>
  <si>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</si>
  <si>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</si>
  <si>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</si>
  <si>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</si>
  <si>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</si>
  <si>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</si>
  <si>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</si>
  <si>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</si>
  <si>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</si>
  <si>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</si>
  <si>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</si>
  <si>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</si>
  <si>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DA</t>
  </si>
  <si>
    <t>HRA</t>
  </si>
  <si>
    <t>TA</t>
  </si>
  <si>
    <t>PF</t>
  </si>
  <si>
    <t>Bonus</t>
  </si>
  <si>
    <t>Incentive</t>
  </si>
  <si>
    <t>P.Tax</t>
  </si>
  <si>
    <t>CCA</t>
  </si>
  <si>
    <t>Special Allowance</t>
  </si>
  <si>
    <t>Gross Salary</t>
  </si>
  <si>
    <t>Net Salary</t>
  </si>
  <si>
    <t>Annual Salary</t>
  </si>
  <si>
    <t>P.Tax on Basic</t>
  </si>
  <si>
    <t>&lt;5000</t>
  </si>
  <si>
    <t>&gt;= 5000 &amp; &lt;=10000</t>
  </si>
  <si>
    <t>&gt;10000 &amp; &lt;=15000</t>
  </si>
  <si>
    <t>&gt;15000 &amp; &lt;=20000</t>
  </si>
  <si>
    <t>&gt;20000</t>
  </si>
  <si>
    <t>30% of Basic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</si>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</sst>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topLeftCell="J1" zoomScaleNormal="100" workbookViewId="0">
      <selection activeCell="Y2" sqref="Y2:Y21"/>
    </sheetView>
  </sheetViews>
  <sheetFormatPr defaultColWidth="9.77734375" defaultRowHeight="14.4" x14ac:dyDescent="0.3"/>
  <cols>
    <col min="7" max="9" width="16.88671875" customWidth="1"/>
    <col min="10" max="11" width="9.77734375" customWidth="1"/>
    <col min="12" max="12" width="10.44140625" customWidth="1"/>
    <col min="13" max="13" width="11.21875" customWidth="1"/>
    <col min="14" max="16" width="9.77734375" customWidth="1"/>
    <col min="18" max="21" width="9.77734375" customWidth="1"/>
    <col min="22" max="22" width="15.5546875" customWidth="1"/>
    <col min="23" max="24" width="11.33203125" customWidth="1"/>
    <col min="25" max="25" width="18.21875" customWidth="1"/>
    <col min="28" max="28" width="16.77734375" bestFit="1" customWidth="1"/>
    <col min="30" max="30" width="14.21875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63</v>
      </c>
      <c r="I1" s="3" t="s">
        <v>64</v>
      </c>
      <c r="J1" s="3" t="s">
        <v>65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82</v>
      </c>
      <c r="P1" s="3" t="s">
        <v>82</v>
      </c>
      <c r="Q1" s="3" t="s">
        <v>69</v>
      </c>
      <c r="R1" s="3" t="s">
        <v>69</v>
      </c>
      <c r="S1" s="3" t="s">
        <v>70</v>
      </c>
      <c r="T1" s="3" t="s">
        <v>70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</row>
    <row r="2" spans="1:31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>
        <v>6250</v>
      </c>
      <c r="H2" s="4">
        <f>G2*30%</f>
        <v>1875</v>
      </c>
      <c r="I2" s="4">
        <f>(G2+H2)*40%</f>
        <v>3250</v>
      </c>
      <c r="J2" s="1">
        <f>IF(F2="Marketing",5000,0)</f>
        <v>0</v>
      </c>
      <c r="K2" s="1">
        <f>IF(F2=$F$4,5000,0)</f>
        <v>0</v>
      </c>
      <c r="L2" s="4">
        <f>(G2*12%)</f>
        <v>750</v>
      </c>
      <c r="M2" s="1">
        <f>IF(AND(F2="Training",E2="W"),G2*40%,0)</f>
        <v>2500</v>
      </c>
      <c r="N2" s="1">
        <f>IF(OR(F2="Accounts",F2="Operation"),5000,0)</f>
        <v>0</v>
      </c>
      <c r="O2" s="1">
        <f>IF(NOT(OR(F2="Accounts",F2="Operation")),3500,0)</f>
        <v>3500</v>
      </c>
      <c r="P2" s="1">
        <f>IF(OR(F2="Accounts",F2="Operation"),0,3500)</f>
        <v>3500</v>
      </c>
      <c r="Q2" s="1">
        <f>IF(G2&lt;5000,0,IF(G2&lt;=10000,50,IF(G2&lt;=15000,100,IF(G2&lt;=20000,150,200))))</f>
        <v>50</v>
      </c>
      <c r="R2" s="1">
        <f>_xlfn.IFS(G2&lt;5000,0,G2&lt;=10000,50,G2&lt;=15000,100,G2&lt;=20000,150,G2&gt;20000,200)</f>
        <v>50</v>
      </c>
      <c r="S2" s="1">
        <f>IF(OR(D2="Mumbai",D2="Delhi",D2="Chennai",D2="Banglore",D2="Kolkata"),5000,0)</f>
        <v>5000</v>
      </c>
      <c r="T2" s="1">
        <f>IF(OR(D2="Noida",D2="cuttack",D2="Manglore",D2="Mysore",D2="Pune"),0,5000)</f>
        <v>5000</v>
      </c>
      <c r="U2" s="1">
        <f>IF(NOT(OR(D2="Pune",D2="Mysore",D2="Cuttack",D2="Manglore",D2="Noida")),5000,0)</f>
        <v>5000</v>
      </c>
      <c r="V2" s="1">
        <f>IF(OR(AND(F2="Training",E2="W"),AND(F2="R&amp;D",E2="S"),AND(F2="Marketing",E2="N"),AND(F2="Accounts",E2="E")),G2*30%,0)</f>
        <v>1875</v>
      </c>
      <c r="W2" s="4">
        <f>SUM(G2,H2,I2,J2,N2,M2,O2,S2,V2)</f>
        <v>24250</v>
      </c>
      <c r="X2" s="4">
        <f>W2-(L2+Q2)</f>
        <v>23450</v>
      </c>
      <c r="Y2" s="4">
        <f>W2*12</f>
        <v>291000</v>
      </c>
    </row>
    <row r="3" spans="1:31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4">
        <v>8750</v>
      </c>
      <c r="H3" s="4">
        <f t="shared" ref="H3:H21" si="0">G3*30%</f>
        <v>2625</v>
      </c>
      <c r="I3" s="4">
        <f t="shared" ref="I3:I21" si="1">(G3+H3)*40%</f>
        <v>4550</v>
      </c>
      <c r="J3" s="1">
        <f t="shared" ref="J3:J21" si="2">IF(F3="Marketing",5000,0)</f>
        <v>0</v>
      </c>
      <c r="K3" s="1">
        <f t="shared" ref="K3:K21" si="3">IF(F3=$F$4,5000,0)</f>
        <v>0</v>
      </c>
      <c r="L3" s="4">
        <f t="shared" ref="L3:L21" si="4">(G3*12%)</f>
        <v>1050</v>
      </c>
      <c r="M3" s="1">
        <f t="shared" ref="M3:M21" si="5">IF(AND(F3="Training",E3="W"),G3*40%,0)</f>
        <v>0</v>
      </c>
      <c r="N3" s="1">
        <f t="shared" ref="N3:N21" si="6">IF(OR(F3="Accounts",F3="Operation"),5000,0)</f>
        <v>5000</v>
      </c>
      <c r="O3" s="1">
        <f t="shared" ref="O3:O21" si="7">IF(NOT(OR(F3="Accounts",F3="Operation")),3500,0)</f>
        <v>0</v>
      </c>
      <c r="P3" s="1">
        <f t="shared" ref="P3:P21" si="8">IF(OR(F3="Accounts",F3="Operation"),0,3500)</f>
        <v>0</v>
      </c>
      <c r="Q3" s="1">
        <f t="shared" ref="Q3:Q21" si="9">IF(G3&lt;5000,0,IF(G3&lt;=10000,50,IF(G3&lt;=15000,100,IF(G3&lt;=20000,150,200))))</f>
        <v>50</v>
      </c>
      <c r="R3" s="1">
        <f t="shared" ref="R3:R21" si="10">_xlfn.IFS(G3&lt;5000,0,G3&lt;=10000,50,G3&lt;=15000,100,G3&lt;=20000,150,G3&gt;20000,200)</f>
        <v>50</v>
      </c>
      <c r="S3" s="1">
        <f t="shared" ref="S3:S21" si="11">IF(OR(D3="Mumbai",D3="Delhi",D3="Chennai",D3="Banglore",D3="Kolkata"),5000,0)</f>
        <v>5000</v>
      </c>
      <c r="T3" s="1">
        <f t="shared" ref="T3:T21" si="12">IF(OR(D3="Noida",D3="cuttack",D3="Manglore",D3="Mysore",D3="Pune"),0,5000)</f>
        <v>5000</v>
      </c>
      <c r="U3" s="1">
        <f t="shared" ref="U3:U21" si="13">IF(NOT(OR(D3="Pune",D3="Mysore",D3="Cuttack",D3="Manglore",D3="Noida")),5000,0)</f>
        <v>5000</v>
      </c>
      <c r="V3" s="1">
        <f t="shared" ref="V3:V21" si="14">IF(OR(AND(F3="Training",E3="W"),AND(F3="R&amp;D",E3="S"),AND(F3="Marketing",E3="N"),AND(F3="Accounts",E3="E")),G3*30%,0)</f>
        <v>0</v>
      </c>
      <c r="W3" s="4">
        <f t="shared" ref="W3:W21" si="15">SUM(G3,H3,I3,J3,N3,M3,O3,S3,V3)</f>
        <v>25925</v>
      </c>
      <c r="X3" s="4">
        <f t="shared" ref="X3:X21" si="16">W3-(L3+Q3)</f>
        <v>24825</v>
      </c>
      <c r="Y3" s="4">
        <f t="shared" ref="Y3:Y21" si="17">W3*12</f>
        <v>311100</v>
      </c>
    </row>
    <row r="4" spans="1:31" x14ac:dyDescent="0.3">
      <c r="A4" s="1">
        <v>3</v>
      </c>
      <c r="B4" s="1" t="s">
        <v>17</v>
      </c>
      <c r="C4" s="1" t="s">
        <v>18</v>
      </c>
      <c r="D4" s="1" t="s">
        <v>19</v>
      </c>
      <c r="E4" s="1" t="s">
        <v>15</v>
      </c>
      <c r="F4" s="1" t="s">
        <v>20</v>
      </c>
      <c r="G4" s="4">
        <v>11250</v>
      </c>
      <c r="H4" s="4">
        <f t="shared" si="0"/>
        <v>3375</v>
      </c>
      <c r="I4" s="4">
        <f t="shared" si="1"/>
        <v>5850</v>
      </c>
      <c r="J4" s="1">
        <f t="shared" si="2"/>
        <v>5000</v>
      </c>
      <c r="K4" s="1">
        <f t="shared" si="3"/>
        <v>5000</v>
      </c>
      <c r="L4" s="4">
        <f t="shared" si="4"/>
        <v>1350</v>
      </c>
      <c r="M4" s="1">
        <f t="shared" si="5"/>
        <v>0</v>
      </c>
      <c r="N4" s="1">
        <f t="shared" si="6"/>
        <v>0</v>
      </c>
      <c r="O4" s="1">
        <f t="shared" si="7"/>
        <v>3500</v>
      </c>
      <c r="P4" s="1">
        <f t="shared" si="8"/>
        <v>3500</v>
      </c>
      <c r="Q4" s="1">
        <f t="shared" si="9"/>
        <v>100</v>
      </c>
      <c r="R4" s="1">
        <f t="shared" si="10"/>
        <v>100</v>
      </c>
      <c r="S4" s="1">
        <f t="shared" si="11"/>
        <v>0</v>
      </c>
      <c r="T4" s="1">
        <f t="shared" si="12"/>
        <v>0</v>
      </c>
      <c r="U4" s="1">
        <f t="shared" si="13"/>
        <v>0</v>
      </c>
      <c r="V4" s="1">
        <f t="shared" si="14"/>
        <v>3375</v>
      </c>
      <c r="W4" s="4">
        <f t="shared" si="15"/>
        <v>32350</v>
      </c>
      <c r="X4" s="4">
        <f t="shared" si="16"/>
        <v>30900</v>
      </c>
      <c r="Y4" s="4">
        <f t="shared" si="17"/>
        <v>388200</v>
      </c>
      <c r="AB4" s="6" t="s">
        <v>75</v>
      </c>
      <c r="AC4" s="6"/>
    </row>
    <row r="5" spans="1:31" x14ac:dyDescent="0.3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4">
        <v>10000</v>
      </c>
      <c r="H5" s="4">
        <f t="shared" si="0"/>
        <v>3000</v>
      </c>
      <c r="I5" s="4">
        <f t="shared" si="1"/>
        <v>5200</v>
      </c>
      <c r="J5" s="1">
        <f t="shared" si="2"/>
        <v>0</v>
      </c>
      <c r="K5" s="1">
        <f t="shared" si="3"/>
        <v>0</v>
      </c>
      <c r="L5" s="4">
        <f t="shared" si="4"/>
        <v>1200</v>
      </c>
      <c r="M5" s="1">
        <f t="shared" si="5"/>
        <v>0</v>
      </c>
      <c r="N5" s="1">
        <f t="shared" si="6"/>
        <v>0</v>
      </c>
      <c r="O5" s="1">
        <f t="shared" si="7"/>
        <v>3500</v>
      </c>
      <c r="P5" s="1">
        <f t="shared" si="8"/>
        <v>3500</v>
      </c>
      <c r="Q5" s="1">
        <f t="shared" si="9"/>
        <v>50</v>
      </c>
      <c r="R5" s="1">
        <f t="shared" si="10"/>
        <v>50</v>
      </c>
      <c r="S5" s="1">
        <f t="shared" si="11"/>
        <v>5000</v>
      </c>
      <c r="T5" s="1">
        <f t="shared" si="12"/>
        <v>5000</v>
      </c>
      <c r="U5" s="1">
        <f t="shared" si="13"/>
        <v>5000</v>
      </c>
      <c r="V5" s="1">
        <f t="shared" si="14"/>
        <v>3000</v>
      </c>
      <c r="W5" s="4">
        <f t="shared" si="15"/>
        <v>29700</v>
      </c>
      <c r="X5" s="4">
        <f t="shared" si="16"/>
        <v>28450</v>
      </c>
      <c r="Y5" s="4">
        <f t="shared" si="17"/>
        <v>356400</v>
      </c>
      <c r="AB5" s="2" t="s">
        <v>76</v>
      </c>
      <c r="AC5" s="2">
        <v>0</v>
      </c>
    </row>
    <row r="6" spans="1:31" x14ac:dyDescent="0.3">
      <c r="A6" s="1">
        <v>5</v>
      </c>
      <c r="B6" s="1" t="s">
        <v>26</v>
      </c>
      <c r="C6" s="1" t="s">
        <v>27</v>
      </c>
      <c r="D6" s="1" t="s">
        <v>14</v>
      </c>
      <c r="E6" s="1" t="s">
        <v>15</v>
      </c>
      <c r="F6" s="1" t="s">
        <v>11</v>
      </c>
      <c r="G6" s="4">
        <v>16250</v>
      </c>
      <c r="H6" s="4">
        <f t="shared" si="0"/>
        <v>4875</v>
      </c>
      <c r="I6" s="4">
        <f t="shared" si="1"/>
        <v>8450</v>
      </c>
      <c r="J6" s="1">
        <f t="shared" si="2"/>
        <v>0</v>
      </c>
      <c r="K6" s="1">
        <f t="shared" si="3"/>
        <v>0</v>
      </c>
      <c r="L6" s="4">
        <f t="shared" si="4"/>
        <v>1950</v>
      </c>
      <c r="M6" s="1">
        <f t="shared" si="5"/>
        <v>0</v>
      </c>
      <c r="N6" s="1">
        <f t="shared" si="6"/>
        <v>0</v>
      </c>
      <c r="O6" s="1">
        <f t="shared" si="7"/>
        <v>3500</v>
      </c>
      <c r="P6" s="1">
        <f t="shared" si="8"/>
        <v>3500</v>
      </c>
      <c r="Q6" s="1">
        <f t="shared" si="9"/>
        <v>150</v>
      </c>
      <c r="R6" s="1">
        <f t="shared" si="10"/>
        <v>150</v>
      </c>
      <c r="S6" s="1">
        <f t="shared" si="11"/>
        <v>5000</v>
      </c>
      <c r="T6" s="1">
        <f t="shared" si="12"/>
        <v>5000</v>
      </c>
      <c r="U6" s="1">
        <f t="shared" si="13"/>
        <v>5000</v>
      </c>
      <c r="V6" s="1">
        <f t="shared" si="14"/>
        <v>0</v>
      </c>
      <c r="W6" s="4">
        <f t="shared" si="15"/>
        <v>38075</v>
      </c>
      <c r="X6" s="4">
        <f t="shared" si="16"/>
        <v>35975</v>
      </c>
      <c r="Y6" s="4">
        <f t="shared" si="17"/>
        <v>456900</v>
      </c>
      <c r="AB6" s="2" t="s">
        <v>77</v>
      </c>
      <c r="AC6" s="2">
        <v>50</v>
      </c>
    </row>
    <row r="7" spans="1:31" x14ac:dyDescent="0.3">
      <c r="A7" s="1">
        <v>6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16</v>
      </c>
      <c r="G7" s="4">
        <v>6400</v>
      </c>
      <c r="H7" s="4">
        <f t="shared" si="0"/>
        <v>1920</v>
      </c>
      <c r="I7" s="4">
        <f t="shared" si="1"/>
        <v>3328</v>
      </c>
      <c r="J7" s="1">
        <f t="shared" si="2"/>
        <v>0</v>
      </c>
      <c r="K7" s="1">
        <f t="shared" si="3"/>
        <v>0</v>
      </c>
      <c r="L7" s="4">
        <f t="shared" si="4"/>
        <v>768</v>
      </c>
      <c r="M7" s="1">
        <f t="shared" si="5"/>
        <v>0</v>
      </c>
      <c r="N7" s="1">
        <f t="shared" si="6"/>
        <v>5000</v>
      </c>
      <c r="O7" s="1">
        <f t="shared" si="7"/>
        <v>0</v>
      </c>
      <c r="P7" s="1">
        <f t="shared" si="8"/>
        <v>0</v>
      </c>
      <c r="Q7" s="1">
        <f t="shared" si="9"/>
        <v>50</v>
      </c>
      <c r="R7" s="1">
        <f t="shared" si="10"/>
        <v>50</v>
      </c>
      <c r="S7" s="1">
        <f t="shared" si="11"/>
        <v>0</v>
      </c>
      <c r="T7" s="1">
        <f t="shared" si="12"/>
        <v>0</v>
      </c>
      <c r="U7" s="1">
        <f t="shared" si="13"/>
        <v>0</v>
      </c>
      <c r="V7" s="1">
        <f t="shared" si="14"/>
        <v>1920</v>
      </c>
      <c r="W7" s="4">
        <f t="shared" si="15"/>
        <v>18568</v>
      </c>
      <c r="X7" s="4">
        <f t="shared" si="16"/>
        <v>17750</v>
      </c>
      <c r="Y7" s="4">
        <f t="shared" si="17"/>
        <v>222816</v>
      </c>
      <c r="AB7" s="2" t="s">
        <v>78</v>
      </c>
      <c r="AC7" s="2">
        <v>100</v>
      </c>
    </row>
    <row r="8" spans="1:31" x14ac:dyDescent="0.3">
      <c r="A8" s="1">
        <v>7</v>
      </c>
      <c r="B8" s="1" t="s">
        <v>32</v>
      </c>
      <c r="C8" s="1" t="s">
        <v>33</v>
      </c>
      <c r="D8" s="1" t="s">
        <v>34</v>
      </c>
      <c r="E8" s="1" t="s">
        <v>31</v>
      </c>
      <c r="F8" s="1" t="s">
        <v>20</v>
      </c>
      <c r="G8" s="4">
        <v>4500</v>
      </c>
      <c r="H8" s="4">
        <f t="shared" si="0"/>
        <v>1350</v>
      </c>
      <c r="I8" s="4">
        <f t="shared" si="1"/>
        <v>2340</v>
      </c>
      <c r="J8" s="1">
        <f t="shared" si="2"/>
        <v>5000</v>
      </c>
      <c r="K8" s="1">
        <f t="shared" si="3"/>
        <v>5000</v>
      </c>
      <c r="L8" s="4">
        <f t="shared" si="4"/>
        <v>540</v>
      </c>
      <c r="M8" s="1">
        <f t="shared" si="5"/>
        <v>0</v>
      </c>
      <c r="N8" s="1">
        <f t="shared" si="6"/>
        <v>0</v>
      </c>
      <c r="O8" s="1">
        <f t="shared" si="7"/>
        <v>3500</v>
      </c>
      <c r="P8" s="1">
        <f t="shared" si="8"/>
        <v>3500</v>
      </c>
      <c r="Q8" s="1">
        <f t="shared" si="9"/>
        <v>0</v>
      </c>
      <c r="R8" s="1">
        <f t="shared" si="10"/>
        <v>0</v>
      </c>
      <c r="S8" s="1">
        <f t="shared" si="11"/>
        <v>5000</v>
      </c>
      <c r="T8" s="1">
        <f t="shared" si="12"/>
        <v>5000</v>
      </c>
      <c r="U8" s="1">
        <f t="shared" si="13"/>
        <v>5000</v>
      </c>
      <c r="V8" s="1">
        <f t="shared" si="14"/>
        <v>0</v>
      </c>
      <c r="W8" s="4">
        <f t="shared" si="15"/>
        <v>21690</v>
      </c>
      <c r="X8" s="4">
        <f t="shared" si="16"/>
        <v>21150</v>
      </c>
      <c r="Y8" s="4">
        <f t="shared" si="17"/>
        <v>260280</v>
      </c>
      <c r="AB8" s="2" t="s">
        <v>79</v>
      </c>
      <c r="AC8" s="2">
        <v>150</v>
      </c>
    </row>
    <row r="9" spans="1:31" x14ac:dyDescent="0.3">
      <c r="A9" s="1">
        <v>8</v>
      </c>
      <c r="B9" s="1" t="s">
        <v>35</v>
      </c>
      <c r="C9" s="1" t="s">
        <v>36</v>
      </c>
      <c r="D9" s="1" t="s">
        <v>34</v>
      </c>
      <c r="E9" s="1" t="s">
        <v>31</v>
      </c>
      <c r="F9" s="1" t="s">
        <v>25</v>
      </c>
      <c r="G9" s="4">
        <v>6275</v>
      </c>
      <c r="H9" s="4">
        <f t="shared" si="0"/>
        <v>1882.5</v>
      </c>
      <c r="I9" s="4">
        <f t="shared" si="1"/>
        <v>3263</v>
      </c>
      <c r="J9" s="1">
        <f t="shared" si="2"/>
        <v>0</v>
      </c>
      <c r="K9" s="1">
        <f t="shared" si="3"/>
        <v>0</v>
      </c>
      <c r="L9" s="4">
        <f t="shared" si="4"/>
        <v>753</v>
      </c>
      <c r="M9" s="1">
        <f t="shared" si="5"/>
        <v>0</v>
      </c>
      <c r="N9" s="1">
        <f t="shared" si="6"/>
        <v>0</v>
      </c>
      <c r="O9" s="1">
        <f t="shared" si="7"/>
        <v>3500</v>
      </c>
      <c r="P9" s="1">
        <f t="shared" si="8"/>
        <v>3500</v>
      </c>
      <c r="Q9" s="1">
        <f t="shared" si="9"/>
        <v>50</v>
      </c>
      <c r="R9" s="1">
        <f t="shared" si="10"/>
        <v>50</v>
      </c>
      <c r="S9" s="1">
        <f t="shared" si="11"/>
        <v>5000</v>
      </c>
      <c r="T9" s="1">
        <f t="shared" si="12"/>
        <v>5000</v>
      </c>
      <c r="U9" s="1">
        <f t="shared" si="13"/>
        <v>5000</v>
      </c>
      <c r="V9" s="1">
        <f t="shared" si="14"/>
        <v>0</v>
      </c>
      <c r="W9" s="4">
        <f t="shared" si="15"/>
        <v>19920.5</v>
      </c>
      <c r="X9" s="4">
        <f t="shared" si="16"/>
        <v>19117.5</v>
      </c>
      <c r="Y9" s="4">
        <f t="shared" si="17"/>
        <v>239046</v>
      </c>
      <c r="AB9" s="2" t="s">
        <v>80</v>
      </c>
      <c r="AC9" s="2">
        <v>200</v>
      </c>
    </row>
    <row r="10" spans="1:31" x14ac:dyDescent="0.3">
      <c r="A10" s="1">
        <v>9</v>
      </c>
      <c r="B10" s="1" t="s">
        <v>37</v>
      </c>
      <c r="C10" s="1" t="s">
        <v>38</v>
      </c>
      <c r="D10" s="1" t="s">
        <v>9</v>
      </c>
      <c r="E10" s="1" t="s">
        <v>10</v>
      </c>
      <c r="F10" s="1" t="s">
        <v>11</v>
      </c>
      <c r="G10" s="4">
        <v>6250</v>
      </c>
      <c r="H10" s="4">
        <f t="shared" si="0"/>
        <v>1875</v>
      </c>
      <c r="I10" s="4">
        <f t="shared" si="1"/>
        <v>3250</v>
      </c>
      <c r="J10" s="1">
        <f t="shared" si="2"/>
        <v>0</v>
      </c>
      <c r="K10" s="1">
        <f t="shared" si="3"/>
        <v>0</v>
      </c>
      <c r="L10" s="4">
        <f t="shared" si="4"/>
        <v>750</v>
      </c>
      <c r="M10" s="1">
        <f t="shared" si="5"/>
        <v>2500</v>
      </c>
      <c r="N10" s="1">
        <f t="shared" si="6"/>
        <v>0</v>
      </c>
      <c r="O10" s="1">
        <f t="shared" si="7"/>
        <v>3500</v>
      </c>
      <c r="P10" s="1">
        <f t="shared" si="8"/>
        <v>3500</v>
      </c>
      <c r="Q10" s="1">
        <f t="shared" si="9"/>
        <v>50</v>
      </c>
      <c r="R10" s="1">
        <f t="shared" si="10"/>
        <v>50</v>
      </c>
      <c r="S10" s="1">
        <f t="shared" si="11"/>
        <v>5000</v>
      </c>
      <c r="T10" s="1">
        <f t="shared" si="12"/>
        <v>5000</v>
      </c>
      <c r="U10" s="1">
        <f t="shared" si="13"/>
        <v>5000</v>
      </c>
      <c r="V10" s="1">
        <f t="shared" si="14"/>
        <v>1875</v>
      </c>
      <c r="W10" s="4">
        <f t="shared" si="15"/>
        <v>24250</v>
      </c>
      <c r="X10" s="4">
        <f t="shared" si="16"/>
        <v>23450</v>
      </c>
      <c r="Y10" s="4">
        <f t="shared" si="17"/>
        <v>291000</v>
      </c>
    </row>
    <row r="11" spans="1:31" x14ac:dyDescent="0.3">
      <c r="A11" s="1">
        <v>10</v>
      </c>
      <c r="B11" s="1" t="s">
        <v>39</v>
      </c>
      <c r="C11" s="1" t="s">
        <v>40</v>
      </c>
      <c r="D11" s="1" t="s">
        <v>41</v>
      </c>
      <c r="E11" s="1" t="s">
        <v>24</v>
      </c>
      <c r="F11" s="1" t="s">
        <v>16</v>
      </c>
      <c r="G11" s="4">
        <v>8750</v>
      </c>
      <c r="H11" s="4">
        <f t="shared" si="0"/>
        <v>2625</v>
      </c>
      <c r="I11" s="4">
        <f t="shared" si="1"/>
        <v>4550</v>
      </c>
      <c r="J11" s="1">
        <f t="shared" si="2"/>
        <v>0</v>
      </c>
      <c r="K11" s="1">
        <f t="shared" si="3"/>
        <v>0</v>
      </c>
      <c r="L11" s="4">
        <f t="shared" si="4"/>
        <v>1050</v>
      </c>
      <c r="M11" s="1">
        <f t="shared" si="5"/>
        <v>0</v>
      </c>
      <c r="N11" s="1">
        <f t="shared" si="6"/>
        <v>5000</v>
      </c>
      <c r="O11" s="1">
        <f t="shared" si="7"/>
        <v>0</v>
      </c>
      <c r="P11" s="1">
        <f t="shared" si="8"/>
        <v>0</v>
      </c>
      <c r="Q11" s="1">
        <f t="shared" si="9"/>
        <v>50</v>
      </c>
      <c r="R11" s="1">
        <f t="shared" si="10"/>
        <v>50</v>
      </c>
      <c r="S11" s="1">
        <f t="shared" si="11"/>
        <v>0</v>
      </c>
      <c r="T11" s="1">
        <f t="shared" si="12"/>
        <v>5000</v>
      </c>
      <c r="U11" s="1">
        <f t="shared" si="13"/>
        <v>5000</v>
      </c>
      <c r="V11" s="1">
        <f t="shared" si="14"/>
        <v>0</v>
      </c>
      <c r="W11" s="4">
        <f t="shared" si="15"/>
        <v>20925</v>
      </c>
      <c r="X11" s="4">
        <f t="shared" si="16"/>
        <v>19825</v>
      </c>
      <c r="Y11" s="4">
        <f t="shared" si="17"/>
        <v>251100</v>
      </c>
      <c r="AB11" s="2" t="s">
        <v>11</v>
      </c>
      <c r="AC11" s="2" t="s">
        <v>10</v>
      </c>
      <c r="AD11" s="7" t="s">
        <v>81</v>
      </c>
      <c r="AE11" s="8">
        <v>0</v>
      </c>
    </row>
    <row r="12" spans="1:31" x14ac:dyDescent="0.3">
      <c r="A12" s="1">
        <v>11</v>
      </c>
      <c r="B12" s="1" t="s">
        <v>42</v>
      </c>
      <c r="C12" s="1" t="s">
        <v>43</v>
      </c>
      <c r="D12" s="1" t="s">
        <v>41</v>
      </c>
      <c r="E12" s="1" t="s">
        <v>24</v>
      </c>
      <c r="F12" s="1" t="s">
        <v>20</v>
      </c>
      <c r="G12" s="4">
        <v>11250</v>
      </c>
      <c r="H12" s="4">
        <f t="shared" si="0"/>
        <v>3375</v>
      </c>
      <c r="I12" s="4">
        <f t="shared" si="1"/>
        <v>5850</v>
      </c>
      <c r="J12" s="1">
        <f t="shared" si="2"/>
        <v>5000</v>
      </c>
      <c r="K12" s="1">
        <f t="shared" si="3"/>
        <v>5000</v>
      </c>
      <c r="L12" s="4">
        <f t="shared" si="4"/>
        <v>1350</v>
      </c>
      <c r="M12" s="1">
        <f t="shared" si="5"/>
        <v>0</v>
      </c>
      <c r="N12" s="1">
        <f t="shared" si="6"/>
        <v>0</v>
      </c>
      <c r="O12" s="1">
        <f t="shared" si="7"/>
        <v>3500</v>
      </c>
      <c r="P12" s="1">
        <f t="shared" si="8"/>
        <v>3500</v>
      </c>
      <c r="Q12" s="1">
        <f t="shared" si="9"/>
        <v>100</v>
      </c>
      <c r="R12" s="1">
        <f t="shared" si="10"/>
        <v>100</v>
      </c>
      <c r="S12" s="1">
        <f t="shared" si="11"/>
        <v>0</v>
      </c>
      <c r="T12" s="1">
        <f t="shared" si="12"/>
        <v>5000</v>
      </c>
      <c r="U12" s="1">
        <f t="shared" si="13"/>
        <v>5000</v>
      </c>
      <c r="V12" s="1">
        <f t="shared" si="14"/>
        <v>0</v>
      </c>
      <c r="W12" s="4">
        <f t="shared" si="15"/>
        <v>28975</v>
      </c>
      <c r="X12" s="4">
        <f t="shared" si="16"/>
        <v>27525</v>
      </c>
      <c r="Y12" s="4">
        <f t="shared" si="17"/>
        <v>347700</v>
      </c>
      <c r="AB12" s="2" t="s">
        <v>25</v>
      </c>
      <c r="AC12" s="2" t="s">
        <v>24</v>
      </c>
      <c r="AD12" s="7"/>
      <c r="AE12" s="8"/>
    </row>
    <row r="13" spans="1:31" x14ac:dyDescent="0.3">
      <c r="A13" s="1">
        <v>12</v>
      </c>
      <c r="B13" s="1" t="s">
        <v>44</v>
      </c>
      <c r="C13" s="1" t="s">
        <v>45</v>
      </c>
      <c r="D13" s="1" t="s">
        <v>46</v>
      </c>
      <c r="E13" s="1" t="s">
        <v>24</v>
      </c>
      <c r="F13" s="1" t="s">
        <v>25</v>
      </c>
      <c r="G13" s="4">
        <v>10000</v>
      </c>
      <c r="H13" s="4">
        <f t="shared" si="0"/>
        <v>3000</v>
      </c>
      <c r="I13" s="4">
        <f t="shared" si="1"/>
        <v>5200</v>
      </c>
      <c r="J13" s="1">
        <f t="shared" si="2"/>
        <v>0</v>
      </c>
      <c r="K13" s="1">
        <f t="shared" si="3"/>
        <v>0</v>
      </c>
      <c r="L13" s="4">
        <f t="shared" si="4"/>
        <v>1200</v>
      </c>
      <c r="M13" s="1">
        <f t="shared" si="5"/>
        <v>0</v>
      </c>
      <c r="N13" s="1">
        <f t="shared" si="6"/>
        <v>0</v>
      </c>
      <c r="O13" s="1">
        <f t="shared" si="7"/>
        <v>3500</v>
      </c>
      <c r="P13" s="1">
        <f t="shared" si="8"/>
        <v>3500</v>
      </c>
      <c r="Q13" s="1">
        <f t="shared" si="9"/>
        <v>50</v>
      </c>
      <c r="R13" s="1">
        <f t="shared" si="10"/>
        <v>50</v>
      </c>
      <c r="S13" s="1">
        <f t="shared" si="11"/>
        <v>0</v>
      </c>
      <c r="T13" s="1">
        <f t="shared" si="12"/>
        <v>5000</v>
      </c>
      <c r="U13" s="1">
        <f t="shared" si="13"/>
        <v>5000</v>
      </c>
      <c r="V13" s="1">
        <f t="shared" si="14"/>
        <v>3000</v>
      </c>
      <c r="W13" s="4">
        <f t="shared" si="15"/>
        <v>24700</v>
      </c>
      <c r="X13" s="4">
        <f t="shared" si="16"/>
        <v>23450</v>
      </c>
      <c r="Y13" s="4">
        <f t="shared" si="17"/>
        <v>296400</v>
      </c>
      <c r="AB13" s="2" t="s">
        <v>20</v>
      </c>
      <c r="AC13" s="2" t="s">
        <v>15</v>
      </c>
      <c r="AD13" s="7"/>
      <c r="AE13" s="8"/>
    </row>
    <row r="14" spans="1:31" x14ac:dyDescent="0.3">
      <c r="A14" s="1">
        <v>13</v>
      </c>
      <c r="B14" s="1" t="s">
        <v>47</v>
      </c>
      <c r="C14" s="1" t="s">
        <v>13</v>
      </c>
      <c r="D14" s="1" t="s">
        <v>48</v>
      </c>
      <c r="E14" s="1" t="s">
        <v>24</v>
      </c>
      <c r="F14" s="1" t="s">
        <v>11</v>
      </c>
      <c r="G14" s="4">
        <v>16250</v>
      </c>
      <c r="H14" s="4">
        <f t="shared" si="0"/>
        <v>4875</v>
      </c>
      <c r="I14" s="4">
        <f t="shared" si="1"/>
        <v>8450</v>
      </c>
      <c r="J14" s="1">
        <f t="shared" si="2"/>
        <v>0</v>
      </c>
      <c r="K14" s="1">
        <f t="shared" si="3"/>
        <v>0</v>
      </c>
      <c r="L14" s="4">
        <f t="shared" si="4"/>
        <v>1950</v>
      </c>
      <c r="M14" s="1">
        <f t="shared" si="5"/>
        <v>0</v>
      </c>
      <c r="N14" s="1">
        <f t="shared" si="6"/>
        <v>0</v>
      </c>
      <c r="O14" s="1">
        <f t="shared" si="7"/>
        <v>3500</v>
      </c>
      <c r="P14" s="1">
        <f t="shared" si="8"/>
        <v>3500</v>
      </c>
      <c r="Q14" s="1">
        <f t="shared" si="9"/>
        <v>150</v>
      </c>
      <c r="R14" s="1">
        <f t="shared" si="10"/>
        <v>150</v>
      </c>
      <c r="S14" s="1">
        <f t="shared" si="11"/>
        <v>0</v>
      </c>
      <c r="T14" s="1">
        <f t="shared" si="12"/>
        <v>0</v>
      </c>
      <c r="U14" s="1">
        <f t="shared" si="13"/>
        <v>0</v>
      </c>
      <c r="V14" s="1">
        <f t="shared" si="14"/>
        <v>0</v>
      </c>
      <c r="W14" s="4">
        <f t="shared" si="15"/>
        <v>33075</v>
      </c>
      <c r="X14" s="4">
        <f t="shared" si="16"/>
        <v>30975</v>
      </c>
      <c r="Y14" s="4">
        <f t="shared" si="17"/>
        <v>396900</v>
      </c>
      <c r="AB14" s="2" t="s">
        <v>16</v>
      </c>
      <c r="AC14" s="2" t="s">
        <v>31</v>
      </c>
      <c r="AD14" s="7"/>
      <c r="AE14" s="8"/>
    </row>
    <row r="15" spans="1:31" x14ac:dyDescent="0.3">
      <c r="A15" s="1">
        <v>14</v>
      </c>
      <c r="B15" s="1" t="s">
        <v>49</v>
      </c>
      <c r="C15" s="1" t="s">
        <v>18</v>
      </c>
      <c r="D15" s="1" t="s">
        <v>46</v>
      </c>
      <c r="E15" s="1" t="s">
        <v>24</v>
      </c>
      <c r="F15" s="1" t="s">
        <v>16</v>
      </c>
      <c r="G15" s="4">
        <v>6400</v>
      </c>
      <c r="H15" s="4">
        <f t="shared" si="0"/>
        <v>1920</v>
      </c>
      <c r="I15" s="4">
        <f t="shared" si="1"/>
        <v>3328</v>
      </c>
      <c r="J15" s="1">
        <f t="shared" si="2"/>
        <v>0</v>
      </c>
      <c r="K15" s="1">
        <f t="shared" si="3"/>
        <v>0</v>
      </c>
      <c r="L15" s="4">
        <f t="shared" si="4"/>
        <v>768</v>
      </c>
      <c r="M15" s="1">
        <f t="shared" si="5"/>
        <v>0</v>
      </c>
      <c r="N15" s="1">
        <f t="shared" si="6"/>
        <v>5000</v>
      </c>
      <c r="O15" s="1">
        <f t="shared" si="7"/>
        <v>0</v>
      </c>
      <c r="P15" s="1">
        <f t="shared" si="8"/>
        <v>0</v>
      </c>
      <c r="Q15" s="1">
        <f t="shared" si="9"/>
        <v>50</v>
      </c>
      <c r="R15" s="1">
        <f t="shared" si="10"/>
        <v>50</v>
      </c>
      <c r="S15" s="1">
        <f t="shared" si="11"/>
        <v>0</v>
      </c>
      <c r="T15" s="1">
        <f t="shared" si="12"/>
        <v>5000</v>
      </c>
      <c r="U15" s="1">
        <f t="shared" si="13"/>
        <v>5000</v>
      </c>
      <c r="V15" s="1">
        <f t="shared" si="14"/>
        <v>0</v>
      </c>
      <c r="W15" s="4">
        <f t="shared" si="15"/>
        <v>16648</v>
      </c>
      <c r="X15" s="4">
        <f t="shared" si="16"/>
        <v>15830</v>
      </c>
      <c r="Y15" s="4">
        <f t="shared" si="17"/>
        <v>199776</v>
      </c>
    </row>
    <row r="16" spans="1:31" x14ac:dyDescent="0.3">
      <c r="A16" s="1">
        <v>15</v>
      </c>
      <c r="B16" s="1" t="s">
        <v>50</v>
      </c>
      <c r="C16" s="1" t="s">
        <v>51</v>
      </c>
      <c r="D16" s="1" t="s">
        <v>14</v>
      </c>
      <c r="E16" s="1" t="s">
        <v>15</v>
      </c>
      <c r="F16" s="1" t="s">
        <v>20</v>
      </c>
      <c r="G16" s="4">
        <v>4500</v>
      </c>
      <c r="H16" s="4">
        <f t="shared" si="0"/>
        <v>1350</v>
      </c>
      <c r="I16" s="4">
        <f t="shared" si="1"/>
        <v>2340</v>
      </c>
      <c r="J16" s="1">
        <f t="shared" si="2"/>
        <v>5000</v>
      </c>
      <c r="K16" s="1">
        <f t="shared" si="3"/>
        <v>5000</v>
      </c>
      <c r="L16" s="4">
        <f t="shared" si="4"/>
        <v>540</v>
      </c>
      <c r="M16" s="1">
        <f t="shared" si="5"/>
        <v>0</v>
      </c>
      <c r="N16" s="1">
        <f t="shared" si="6"/>
        <v>0</v>
      </c>
      <c r="O16" s="1">
        <f t="shared" si="7"/>
        <v>3500</v>
      </c>
      <c r="P16" s="1">
        <f t="shared" si="8"/>
        <v>3500</v>
      </c>
      <c r="Q16" s="1">
        <f t="shared" si="9"/>
        <v>0</v>
      </c>
      <c r="R16" s="1">
        <f t="shared" si="10"/>
        <v>0</v>
      </c>
      <c r="S16" s="1">
        <f t="shared" si="11"/>
        <v>5000</v>
      </c>
      <c r="T16" s="1">
        <f t="shared" si="12"/>
        <v>5000</v>
      </c>
      <c r="U16" s="1">
        <f t="shared" si="13"/>
        <v>5000</v>
      </c>
      <c r="V16" s="1">
        <f t="shared" si="14"/>
        <v>1350</v>
      </c>
      <c r="W16" s="4">
        <f t="shared" si="15"/>
        <v>23040</v>
      </c>
      <c r="X16" s="4">
        <f t="shared" si="16"/>
        <v>22500</v>
      </c>
      <c r="Y16" s="4">
        <f t="shared" si="17"/>
        <v>276480</v>
      </c>
    </row>
    <row r="17" spans="1:25" x14ac:dyDescent="0.3">
      <c r="A17" s="1">
        <v>16</v>
      </c>
      <c r="B17" s="1" t="s">
        <v>52</v>
      </c>
      <c r="C17" s="1" t="s">
        <v>36</v>
      </c>
      <c r="D17" s="1" t="s">
        <v>46</v>
      </c>
      <c r="E17" s="1" t="s">
        <v>24</v>
      </c>
      <c r="F17" s="1" t="s">
        <v>25</v>
      </c>
      <c r="G17" s="4">
        <v>6275</v>
      </c>
      <c r="H17" s="4">
        <f t="shared" si="0"/>
        <v>1882.5</v>
      </c>
      <c r="I17" s="4">
        <f t="shared" si="1"/>
        <v>3263</v>
      </c>
      <c r="J17" s="1">
        <f t="shared" si="2"/>
        <v>0</v>
      </c>
      <c r="K17" s="1">
        <f t="shared" si="3"/>
        <v>0</v>
      </c>
      <c r="L17" s="4">
        <f t="shared" si="4"/>
        <v>753</v>
      </c>
      <c r="M17" s="1">
        <f t="shared" si="5"/>
        <v>0</v>
      </c>
      <c r="N17" s="1">
        <f t="shared" si="6"/>
        <v>0</v>
      </c>
      <c r="O17" s="1">
        <f t="shared" si="7"/>
        <v>3500</v>
      </c>
      <c r="P17" s="1">
        <f t="shared" si="8"/>
        <v>3500</v>
      </c>
      <c r="Q17" s="1">
        <f t="shared" si="9"/>
        <v>50</v>
      </c>
      <c r="R17" s="1">
        <f t="shared" si="10"/>
        <v>50</v>
      </c>
      <c r="S17" s="1">
        <f t="shared" si="11"/>
        <v>0</v>
      </c>
      <c r="T17" s="1">
        <f t="shared" si="12"/>
        <v>5000</v>
      </c>
      <c r="U17" s="1">
        <f t="shared" si="13"/>
        <v>5000</v>
      </c>
      <c r="V17" s="1">
        <f t="shared" si="14"/>
        <v>1882.5</v>
      </c>
      <c r="W17" s="4">
        <f t="shared" si="15"/>
        <v>16803</v>
      </c>
      <c r="X17" s="4">
        <f t="shared" si="16"/>
        <v>16000</v>
      </c>
      <c r="Y17" s="4">
        <f t="shared" si="17"/>
        <v>201636</v>
      </c>
    </row>
    <row r="18" spans="1:25" x14ac:dyDescent="0.3">
      <c r="A18" s="1">
        <v>17</v>
      </c>
      <c r="B18" s="1" t="s">
        <v>53</v>
      </c>
      <c r="C18" s="1" t="s">
        <v>54</v>
      </c>
      <c r="D18" s="1" t="s">
        <v>9</v>
      </c>
      <c r="E18" s="1" t="s">
        <v>10</v>
      </c>
      <c r="F18" s="1" t="s">
        <v>55</v>
      </c>
      <c r="G18" s="4">
        <v>6250</v>
      </c>
      <c r="H18" s="4">
        <f t="shared" si="0"/>
        <v>1875</v>
      </c>
      <c r="I18" s="4">
        <f t="shared" si="1"/>
        <v>3250</v>
      </c>
      <c r="J18" s="1">
        <f t="shared" si="2"/>
        <v>0</v>
      </c>
      <c r="K18" s="1">
        <f t="shared" si="3"/>
        <v>0</v>
      </c>
      <c r="L18" s="4">
        <f t="shared" si="4"/>
        <v>750</v>
      </c>
      <c r="M18" s="1">
        <f t="shared" si="5"/>
        <v>0</v>
      </c>
      <c r="N18" s="1">
        <f t="shared" si="6"/>
        <v>5000</v>
      </c>
      <c r="O18" s="1">
        <f t="shared" si="7"/>
        <v>0</v>
      </c>
      <c r="P18" s="1">
        <f t="shared" si="8"/>
        <v>0</v>
      </c>
      <c r="Q18" s="1">
        <f t="shared" si="9"/>
        <v>50</v>
      </c>
      <c r="R18" s="1">
        <f t="shared" si="10"/>
        <v>50</v>
      </c>
      <c r="S18" s="1">
        <f t="shared" si="11"/>
        <v>5000</v>
      </c>
      <c r="T18" s="1">
        <f t="shared" si="12"/>
        <v>5000</v>
      </c>
      <c r="U18" s="1">
        <f t="shared" si="13"/>
        <v>5000</v>
      </c>
      <c r="V18" s="1">
        <f t="shared" si="14"/>
        <v>0</v>
      </c>
      <c r="W18" s="4">
        <f t="shared" si="15"/>
        <v>21375</v>
      </c>
      <c r="X18" s="4">
        <f t="shared" si="16"/>
        <v>20575</v>
      </c>
      <c r="Y18" s="4">
        <f t="shared" si="17"/>
        <v>256500</v>
      </c>
    </row>
    <row r="19" spans="1:25" x14ac:dyDescent="0.3">
      <c r="A19" s="1">
        <v>18</v>
      </c>
      <c r="B19" s="1" t="s">
        <v>56</v>
      </c>
      <c r="C19" s="1" t="s">
        <v>57</v>
      </c>
      <c r="D19" s="1" t="s">
        <v>9</v>
      </c>
      <c r="E19" s="1" t="s">
        <v>10</v>
      </c>
      <c r="F19" s="1" t="s">
        <v>25</v>
      </c>
      <c r="G19" s="4">
        <v>8750</v>
      </c>
      <c r="H19" s="4">
        <f t="shared" si="0"/>
        <v>2625</v>
      </c>
      <c r="I19" s="4">
        <f t="shared" si="1"/>
        <v>4550</v>
      </c>
      <c r="J19" s="1">
        <f t="shared" si="2"/>
        <v>0</v>
      </c>
      <c r="K19" s="1">
        <f t="shared" si="3"/>
        <v>0</v>
      </c>
      <c r="L19" s="4">
        <f t="shared" si="4"/>
        <v>1050</v>
      </c>
      <c r="M19" s="1">
        <f t="shared" si="5"/>
        <v>0</v>
      </c>
      <c r="N19" s="1">
        <f t="shared" si="6"/>
        <v>0</v>
      </c>
      <c r="O19" s="1">
        <f t="shared" si="7"/>
        <v>3500</v>
      </c>
      <c r="P19" s="1">
        <f t="shared" si="8"/>
        <v>3500</v>
      </c>
      <c r="Q19" s="1">
        <f t="shared" si="9"/>
        <v>50</v>
      </c>
      <c r="R19" s="1">
        <f t="shared" si="10"/>
        <v>50</v>
      </c>
      <c r="S19" s="1">
        <f t="shared" si="11"/>
        <v>5000</v>
      </c>
      <c r="T19" s="1">
        <f t="shared" si="12"/>
        <v>5000</v>
      </c>
      <c r="U19" s="1">
        <f t="shared" si="13"/>
        <v>5000</v>
      </c>
      <c r="V19" s="1">
        <f t="shared" si="14"/>
        <v>0</v>
      </c>
      <c r="W19" s="4">
        <f t="shared" si="15"/>
        <v>24425</v>
      </c>
      <c r="X19" s="4">
        <f t="shared" si="16"/>
        <v>23325</v>
      </c>
      <c r="Y19" s="4">
        <f t="shared" si="17"/>
        <v>293100</v>
      </c>
    </row>
    <row r="20" spans="1:25" x14ac:dyDescent="0.3">
      <c r="A20" s="1">
        <v>19</v>
      </c>
      <c r="B20" s="1" t="s">
        <v>58</v>
      </c>
      <c r="C20" s="1" t="s">
        <v>59</v>
      </c>
      <c r="D20" s="1" t="s">
        <v>60</v>
      </c>
      <c r="E20" s="1" t="s">
        <v>10</v>
      </c>
      <c r="F20" s="1" t="s">
        <v>55</v>
      </c>
      <c r="G20" s="4">
        <v>11250</v>
      </c>
      <c r="H20" s="4">
        <f t="shared" si="0"/>
        <v>3375</v>
      </c>
      <c r="I20" s="4">
        <f t="shared" si="1"/>
        <v>5850</v>
      </c>
      <c r="J20" s="1">
        <f t="shared" si="2"/>
        <v>0</v>
      </c>
      <c r="K20" s="1">
        <f t="shared" si="3"/>
        <v>0</v>
      </c>
      <c r="L20" s="4">
        <f t="shared" si="4"/>
        <v>1350</v>
      </c>
      <c r="M20" s="1">
        <f t="shared" si="5"/>
        <v>0</v>
      </c>
      <c r="N20" s="1">
        <f t="shared" si="6"/>
        <v>5000</v>
      </c>
      <c r="O20" s="1">
        <f t="shared" si="7"/>
        <v>0</v>
      </c>
      <c r="P20" s="1">
        <f t="shared" si="8"/>
        <v>0</v>
      </c>
      <c r="Q20" s="1">
        <f t="shared" si="9"/>
        <v>100</v>
      </c>
      <c r="R20" s="1">
        <f t="shared" si="10"/>
        <v>100</v>
      </c>
      <c r="S20" s="1">
        <f t="shared" si="11"/>
        <v>0</v>
      </c>
      <c r="T20" s="1">
        <f t="shared" si="12"/>
        <v>0</v>
      </c>
      <c r="U20" s="1">
        <f t="shared" si="13"/>
        <v>0</v>
      </c>
      <c r="V20" s="1">
        <f t="shared" si="14"/>
        <v>0</v>
      </c>
      <c r="W20" s="4">
        <f t="shared" si="15"/>
        <v>25475</v>
      </c>
      <c r="X20" s="4">
        <f t="shared" si="16"/>
        <v>24025</v>
      </c>
      <c r="Y20" s="4">
        <f t="shared" si="17"/>
        <v>305700</v>
      </c>
    </row>
    <row r="21" spans="1:25" x14ac:dyDescent="0.3">
      <c r="A21" s="1">
        <v>20</v>
      </c>
      <c r="B21" s="1" t="s">
        <v>61</v>
      </c>
      <c r="C21" s="1" t="s">
        <v>62</v>
      </c>
      <c r="D21" s="1" t="s">
        <v>19</v>
      </c>
      <c r="E21" s="1" t="s">
        <v>15</v>
      </c>
      <c r="F21" s="1" t="s">
        <v>11</v>
      </c>
      <c r="G21" s="4">
        <v>10000</v>
      </c>
      <c r="H21" s="4">
        <f t="shared" si="0"/>
        <v>3000</v>
      </c>
      <c r="I21" s="4">
        <f t="shared" si="1"/>
        <v>5200</v>
      </c>
      <c r="J21" s="1">
        <f t="shared" si="2"/>
        <v>0</v>
      </c>
      <c r="K21" s="1">
        <f t="shared" si="3"/>
        <v>0</v>
      </c>
      <c r="L21" s="4">
        <f t="shared" si="4"/>
        <v>1200</v>
      </c>
      <c r="M21" s="1">
        <f t="shared" si="5"/>
        <v>0</v>
      </c>
      <c r="N21" s="1">
        <f t="shared" si="6"/>
        <v>0</v>
      </c>
      <c r="O21" s="1">
        <f t="shared" si="7"/>
        <v>3500</v>
      </c>
      <c r="P21" s="1">
        <f t="shared" si="8"/>
        <v>3500</v>
      </c>
      <c r="Q21" s="1">
        <f t="shared" si="9"/>
        <v>50</v>
      </c>
      <c r="R21" s="1">
        <f t="shared" si="10"/>
        <v>50</v>
      </c>
      <c r="S21" s="1">
        <f t="shared" si="11"/>
        <v>0</v>
      </c>
      <c r="T21" s="1">
        <f t="shared" si="12"/>
        <v>0</v>
      </c>
      <c r="U21" s="1">
        <f t="shared" si="13"/>
        <v>0</v>
      </c>
      <c r="V21" s="1">
        <f t="shared" si="14"/>
        <v>0</v>
      </c>
      <c r="W21" s="4">
        <f t="shared" si="15"/>
        <v>21700</v>
      </c>
      <c r="X21" s="4">
        <f t="shared" si="16"/>
        <v>20450</v>
      </c>
      <c r="Y21" s="4">
        <f t="shared" si="17"/>
        <v>260400</v>
      </c>
    </row>
    <row r="23" spans="1:25" x14ac:dyDescent="0.3">
      <c r="H23" s="5" t="str">
        <f ca="1" xml:space="preserve"> _xlfn.FORMULATEXT(H2)</f>
        <v>=G2*30%</v>
      </c>
      <c r="I23" s="5" t="str">
        <f ca="1" xml:space="preserve"> _xlfn.FORMULATEXT(I2)</f>
        <v>=(G2+H2)*40%</v>
      </c>
      <c r="J23" s="5" t="str">
        <f t="shared" ref="J23:Y23" ca="1" si="18" xml:space="preserve"> _xlfn.FORMULATEXT(J2)</f>
        <v>=IF(F2="Marketing",5000,0)</v>
      </c>
      <c r="K23" s="5" t="str">
        <f t="shared" ca="1" si="18"/>
        <v>=IF(F2=$F$4,5000,0)</v>
      </c>
      <c r="L23" s="5" t="str">
        <f t="shared" ca="1" si="18"/>
        <v>=(G2*12%)</v>
      </c>
      <c r="M23" s="5" t="str">
        <f ca="1" xml:space="preserve"> _xlfn.FORMULATEXT(M2)</f>
        <v>=IF(AND(F2="Training",E2="W"),G2*40%,0)</v>
      </c>
      <c r="N23" s="5" t="str">
        <f t="shared" ca="1" si="18"/>
        <v>=IF(OR(F2="Accounts",F2="Operation"),5000,0)</v>
      </c>
      <c r="O23" s="5" t="str">
        <f t="shared" ca="1" si="18"/>
        <v>=IF(NOT(OR(F2="Accounts",F2="Operation")),3500,0)</v>
      </c>
      <c r="P23" s="5" t="str">
        <f ca="1" xml:space="preserve"> _xlfn.FORMULATEXT(P2)</f>
        <v>=IF(OR(F2="Accounts",F2="Operation"),0,3500)</v>
      </c>
      <c r="Q23" s="5" t="str">
        <f ca="1" xml:space="preserve"> _xlfn.FORMULATEXT(Q2)</f>
        <v>=IF(G2&lt;5000,0,IF(G2&lt;=10000,50,IF(G2&lt;=15000,100,IF(G2&lt;=20000,150,200))))</v>
      </c>
      <c r="R23" s="5" t="str">
        <f t="shared" ca="1" si="18"/>
        <v>=IFS(G2&lt;5000,0,G2&lt;=10000,50,G2&lt;=15000,100,G2&lt;=20000,150,G2&gt;20000,200)</v>
      </c>
      <c r="S23" s="5" t="str">
        <f t="shared" ca="1" si="18"/>
        <v>=IF(OR(D2="Mumbai",D2="Delhi",D2="Chennai",D2="Banglore",D2="Kolkata"),5000,0)</v>
      </c>
      <c r="T23" s="5" t="str">
        <f t="shared" ca="1" si="18"/>
        <v>=IF(OR(D2="Noida",D2="cuttack",D2="Manglore",D2="Mysore",D2="Pune"),0,5000)</v>
      </c>
      <c r="U23" s="5" t="str">
        <f t="shared" ca="1" si="18"/>
        <v>=IF(NOT(OR(D2="Pune",D2="Mysore",D2="Cuttack",D2="Manglore",D2="Noida")),5000,0)</v>
      </c>
      <c r="V23" s="5" t="str">
        <f t="shared" ca="1" si="18"/>
        <v>=IF(OR(AND(F2="Training",E2="W"),AND(F2="R&amp;D",E2="S"),AND(F2="Marketing",E2="N"),AND(F2="Accounts",E2="E")),G2*30%,0)</v>
      </c>
      <c r="W23" s="5" t="str">
        <f t="shared" ca="1" si="18"/>
        <v>=SUM(G2,H2,I2,J2,N2,M2,O2,S2,V2)</v>
      </c>
      <c r="X23" s="5" t="str">
        <f t="shared" ca="1" si="18"/>
        <v>=W2-(L2+Q2)</v>
      </c>
      <c r="Y23" s="5" t="str">
        <f t="shared" ca="1" si="18"/>
        <v>=W2*12</v>
      </c>
    </row>
  </sheetData>
  <mergeCells count="3">
    <mergeCell ref="AB4:AC4"/>
    <mergeCell ref="AD11:AD14"/>
    <mergeCell ref="AE11:AE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Om Gore</cp:lastModifiedBy>
  <dcterms:created xsi:type="dcterms:W3CDTF">2022-04-20T13:34:41Z</dcterms:created>
  <dcterms:modified xsi:type="dcterms:W3CDTF">2026-10-14T17:50:25Z</dcterms:modified>
</cp:coreProperties>
</file>